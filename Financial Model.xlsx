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Cover" sheetId="1" r:id="rId5"/>
    <sheet state="visible" name="Assumptions" sheetId="2" r:id="rId6"/>
    <sheet state="visible" name="Sales" sheetId="3" r:id="rId7"/>
    <sheet state="visible" name="Cost" sheetId="4" r:id="rId8"/>
    <sheet state="visible" name="Fixed Assets" sheetId="5" r:id="rId9"/>
    <sheet state="visible" name="Working Capital" sheetId="6" r:id="rId10"/>
    <sheet state="visible" name="Equity" sheetId="7" r:id="rId11"/>
    <sheet state="visible" name="Short Term Loan" sheetId="8" r:id="rId12"/>
    <sheet state="visible" name="Long Term Loan" sheetId="9" r:id="rId13"/>
    <sheet state="visible" name="Income Statement" sheetId="10" r:id="rId14"/>
    <sheet state="visible" name="Balance Sheet" sheetId="11" r:id="rId15"/>
    <sheet state="visible" name="Cash Flow Statement" sheetId="12" r:id="rId16"/>
    <sheet state="visible" name="Valuation" sheetId="13" r:id="rId17"/>
    <sheet state="visible" name="Ratios" sheetId="14" r:id="rId18"/>
    <sheet state="visible" name="Dupont Analysis" sheetId="15" r:id="rId19"/>
    <sheet state="visible" name="Break-even analysis" sheetId="16" r:id="rId20"/>
  </sheets>
  <definedNames/>
  <calcPr/>
</workbook>
</file>

<file path=xl/sharedStrings.xml><?xml version="1.0" encoding="utf-8"?>
<sst xmlns="http://schemas.openxmlformats.org/spreadsheetml/2006/main" count="512" uniqueCount="308">
  <si>
    <t xml:space="preserve">Luxewall </t>
  </si>
  <si>
    <t>Paint manufacturing Company</t>
  </si>
  <si>
    <t>By Fasih</t>
  </si>
  <si>
    <t>Start Year</t>
  </si>
  <si>
    <t>Macroeconomics</t>
  </si>
  <si>
    <t>Inflation Rate - Local</t>
  </si>
  <si>
    <t>Inflation Rate - Foreign</t>
  </si>
  <si>
    <t>USD/PKR Exchange Rate</t>
  </si>
  <si>
    <t>6M KIBOR</t>
  </si>
  <si>
    <t>PKR depreciation</t>
  </si>
  <si>
    <t>Products &amp; Sales</t>
  </si>
  <si>
    <t>Unit (Drummi)</t>
  </si>
  <si>
    <t>1st Yr Sales Volume</t>
  </si>
  <si>
    <t>1st Yr Sales Price (PKR)</t>
  </si>
  <si>
    <t>1st Yr Sales Price (USD)</t>
  </si>
  <si>
    <t>Unit ( Gallon)</t>
  </si>
  <si>
    <t>Unit (Quarter)</t>
  </si>
  <si>
    <t>Royal Matt Emulsion paint</t>
  </si>
  <si>
    <t>16L (Drummi)</t>
  </si>
  <si>
    <t>4L (Gallon)</t>
  </si>
  <si>
    <t>1L (Quarter)</t>
  </si>
  <si>
    <t>Anti-bacterial Interior paint</t>
  </si>
  <si>
    <t>Silk emulsion</t>
  </si>
  <si>
    <t>Weather resistent exterior paint</t>
  </si>
  <si>
    <t>Super primer</t>
  </si>
  <si>
    <t>Synthetic Enamel</t>
  </si>
  <si>
    <t>16L(Drummi)</t>
  </si>
  <si>
    <t>Sales Growth Rates</t>
  </si>
  <si>
    <t>Sales Volume Growth</t>
  </si>
  <si>
    <t>Sales Price Growth (Local)</t>
  </si>
  <si>
    <t>Sales Price Growth (Export)</t>
  </si>
  <si>
    <t>Export Share</t>
  </si>
  <si>
    <t>Taxes</t>
  </si>
  <si>
    <t>Sales Tax Rate</t>
  </si>
  <si>
    <t>Income Tax Rate</t>
  </si>
  <si>
    <t>Costs &amp; Expenses Assumptions</t>
  </si>
  <si>
    <t>DIRECT COSTS (INPUTS)</t>
  </si>
  <si>
    <t>RAW MATERIAL BREAKDOWN Drummi</t>
  </si>
  <si>
    <t>RAW MATERIAL BREAKDOWN Gallon</t>
  </si>
  <si>
    <t>RAW MATERIAL BREAKDOWN Litre</t>
  </si>
  <si>
    <t>1. Royal Matt Emulsion paint</t>
  </si>
  <si>
    <t>units</t>
  </si>
  <si>
    <t xml:space="preserve">2026 PKR per drummi </t>
  </si>
  <si>
    <t>2026 PKR per gallon</t>
  </si>
  <si>
    <t>2026 PKR per Litre</t>
  </si>
  <si>
    <t>Water</t>
  </si>
  <si>
    <t>Calcium Carbonate</t>
  </si>
  <si>
    <t>Titanium Dioxide (imported)</t>
  </si>
  <si>
    <t>Acrylic Binder</t>
  </si>
  <si>
    <t>Other Additives</t>
  </si>
  <si>
    <t>Color pigments (Imported)</t>
  </si>
  <si>
    <t>Total Material Cost</t>
  </si>
  <si>
    <t>2. Anti-bacterial Interior paint</t>
  </si>
  <si>
    <t>Anti-bacterial Additive  (imported)</t>
  </si>
  <si>
    <t>Color pigments (imported)</t>
  </si>
  <si>
    <t>3.Silk emulsion</t>
  </si>
  <si>
    <t>flow and leveling additives (imported)</t>
  </si>
  <si>
    <t>high grade acrylic binder (imported)</t>
  </si>
  <si>
    <t>4.Weather resistent exterior paint</t>
  </si>
  <si>
    <t>Titanium Dioxide (Imported)</t>
  </si>
  <si>
    <t>UV/Weather additive (imported)</t>
  </si>
  <si>
    <t>Styrene Acrylic Binder (imported)</t>
  </si>
  <si>
    <t>5.Super primer</t>
  </si>
  <si>
    <t>6.Synthetic Enamel</t>
  </si>
  <si>
    <t>Solvent ( Mineral Turpentine/Xylene) (imported)</t>
  </si>
  <si>
    <t>Alkyd resin (imported)</t>
  </si>
  <si>
    <t>Labor Cost</t>
  </si>
  <si>
    <t>DL Utilization per Product</t>
  </si>
  <si>
    <t>Manhours (Drummi)</t>
  </si>
  <si>
    <t>Manhours (gallon)</t>
  </si>
  <si>
    <t>Manhours (litre)</t>
  </si>
  <si>
    <t>Manhour Cost</t>
  </si>
  <si>
    <t>Cost per Hour (PKR)</t>
  </si>
  <si>
    <t>Packaging and labeling cost per product PKR Drummi</t>
  </si>
  <si>
    <t>Packaging and labeling cost per product PKR gallon</t>
  </si>
  <si>
    <t>Packaging and labeling cost per product PKR Litre</t>
  </si>
  <si>
    <t>Admin Costs</t>
  </si>
  <si>
    <t>(%age)</t>
  </si>
  <si>
    <t>Utilities</t>
  </si>
  <si>
    <t>(% of COS)</t>
  </si>
  <si>
    <t>Salaries (Indirect Labor)</t>
  </si>
  <si>
    <t>Misc. Admin Expenses</t>
  </si>
  <si>
    <t>Selling Costs</t>
  </si>
  <si>
    <t>Salaries Sales</t>
  </si>
  <si>
    <t>(% of Net Sales)</t>
  </si>
  <si>
    <t>Marketing</t>
  </si>
  <si>
    <t>Promotions</t>
  </si>
  <si>
    <t>Working Capital</t>
  </si>
  <si>
    <t>Acc Rec Days</t>
  </si>
  <si>
    <t>(Days)</t>
  </si>
  <si>
    <t>Acc Pay Days</t>
  </si>
  <si>
    <t>Inv Days</t>
  </si>
  <si>
    <t>Fixed Assets</t>
  </si>
  <si>
    <t>PKR Mn</t>
  </si>
  <si>
    <t>Capex</t>
  </si>
  <si>
    <t>Land</t>
  </si>
  <si>
    <t>Building</t>
  </si>
  <si>
    <t>Machinery</t>
  </si>
  <si>
    <t>Vehicles</t>
  </si>
  <si>
    <t>Retail outlets/Others</t>
  </si>
  <si>
    <t>Total</t>
  </si>
  <si>
    <t>Depreciable Life</t>
  </si>
  <si>
    <t>Years</t>
  </si>
  <si>
    <t>Dep % per annum</t>
  </si>
  <si>
    <t>Equity</t>
  </si>
  <si>
    <t>Capital Injection</t>
  </si>
  <si>
    <t>Capital Withdrawal</t>
  </si>
  <si>
    <t>Dividend Payout %</t>
  </si>
  <si>
    <t>Long Term Loan</t>
  </si>
  <si>
    <t>Loan Disbursement</t>
  </si>
  <si>
    <t>ST Interest Rate Spread</t>
  </si>
  <si>
    <t>%</t>
  </si>
  <si>
    <t>LT Interest Rate Spread</t>
  </si>
  <si>
    <t>Loan Tenor</t>
  </si>
  <si>
    <t xml:space="preserve">Grace Period </t>
  </si>
  <si>
    <t xml:space="preserve">Valuation </t>
  </si>
  <si>
    <t>Discount Rate</t>
  </si>
  <si>
    <t>Growth Rate</t>
  </si>
  <si>
    <t>WACC</t>
  </si>
  <si>
    <t>Wt of ST Debt</t>
  </si>
  <si>
    <t>Wt of LT Debt</t>
  </si>
  <si>
    <t>Wt of Equity</t>
  </si>
  <si>
    <t>Cost of ST</t>
  </si>
  <si>
    <t>Cost of LT</t>
  </si>
  <si>
    <t>Cost of Equity</t>
  </si>
  <si>
    <t>ST Int Rate</t>
  </si>
  <si>
    <t>LT Int Rate</t>
  </si>
  <si>
    <t>Intangibles</t>
  </si>
  <si>
    <t>licence fee (PKR Mn)</t>
  </si>
  <si>
    <t>licence validity (years)</t>
  </si>
  <si>
    <t>Sales</t>
  </si>
  <si>
    <t>Drummi</t>
  </si>
  <si>
    <t>Gallon</t>
  </si>
  <si>
    <t>Litre</t>
  </si>
  <si>
    <t>Sales Volume Drummi</t>
  </si>
  <si>
    <t>(NO)</t>
  </si>
  <si>
    <t>Sales Volume Gallon</t>
  </si>
  <si>
    <t>Sales Vol Litre</t>
  </si>
  <si>
    <t>Total sales</t>
  </si>
  <si>
    <t>Export Sales</t>
  </si>
  <si>
    <t>Local sales</t>
  </si>
  <si>
    <t>Sales Price</t>
  </si>
  <si>
    <t>Local Sales</t>
  </si>
  <si>
    <t>Export Revenue PKR Mn</t>
  </si>
  <si>
    <t>Local Revenue PKR Mn</t>
  </si>
  <si>
    <t>Total Revenue</t>
  </si>
  <si>
    <t xml:space="preserve"> Total Export Sales</t>
  </si>
  <si>
    <t>Total Local sales</t>
  </si>
  <si>
    <t xml:space="preserve">Total Sales </t>
  </si>
  <si>
    <t>Total Sales</t>
  </si>
  <si>
    <t xml:space="preserve">Cost </t>
  </si>
  <si>
    <t>DRUMMI</t>
  </si>
  <si>
    <t>GALLON</t>
  </si>
  <si>
    <t>LITRE</t>
  </si>
  <si>
    <t>Direct Labor</t>
  </si>
  <si>
    <t>DL cost per product (PKR)</t>
  </si>
  <si>
    <t>DL cost PKR Mn</t>
  </si>
  <si>
    <t>Total DL cost</t>
  </si>
  <si>
    <t>Raw Material Cost</t>
  </si>
  <si>
    <t>Raw material Cost per product</t>
  </si>
  <si>
    <t>Total RM cost PKR Mn</t>
  </si>
  <si>
    <t>Total COS</t>
  </si>
  <si>
    <t>Packaging and label Cost per product</t>
  </si>
  <si>
    <t xml:space="preserve"> Total Packaging and Label Cost PKR Mn</t>
  </si>
  <si>
    <t>Total Packaging and label cost</t>
  </si>
  <si>
    <t>Total COS PKR Mn</t>
  </si>
  <si>
    <t xml:space="preserve">Total Cost </t>
  </si>
  <si>
    <t>(PKR Mn)</t>
  </si>
  <si>
    <t>Fixed Assets Schedule</t>
  </si>
  <si>
    <t>Begin Assets</t>
  </si>
  <si>
    <t>New Capex</t>
  </si>
  <si>
    <t>Updated Assets</t>
  </si>
  <si>
    <t>Depreciation</t>
  </si>
  <si>
    <t>Ending Assets</t>
  </si>
  <si>
    <t>AR Turnover</t>
  </si>
  <si>
    <t>(times)</t>
  </si>
  <si>
    <t>AP Turnover</t>
  </si>
  <si>
    <t>Inv Turnover</t>
  </si>
  <si>
    <t>Acc Rec</t>
  </si>
  <si>
    <t>Acc Pay</t>
  </si>
  <si>
    <t>Inv</t>
  </si>
  <si>
    <t>Begin Capital</t>
  </si>
  <si>
    <t>Capital Injected</t>
  </si>
  <si>
    <t>Capital Withdrawn</t>
  </si>
  <si>
    <t>Ending Capital</t>
  </si>
  <si>
    <t>Begin Retained Earnings</t>
  </si>
  <si>
    <t>Net Income</t>
  </si>
  <si>
    <t>Dividend Paid</t>
  </si>
  <si>
    <t>Ending Retained Earnings</t>
  </si>
  <si>
    <t>Short Term Loan</t>
  </si>
  <si>
    <t>Beginning Bal</t>
  </si>
  <si>
    <t>ST Loan Disbursed/ (Repaid)</t>
  </si>
  <si>
    <t>Ending Bal</t>
  </si>
  <si>
    <t>Interest</t>
  </si>
  <si>
    <t>Begin LTL</t>
  </si>
  <si>
    <t>Loan Disburse</t>
  </si>
  <si>
    <t>Principal Rpmt</t>
  </si>
  <si>
    <t>Ending LTL</t>
  </si>
  <si>
    <t>CPLTL</t>
  </si>
  <si>
    <t>LTL</t>
  </si>
  <si>
    <t xml:space="preserve">Interest </t>
  </si>
  <si>
    <t>Income Statement</t>
  </si>
  <si>
    <t>Gross Sales</t>
  </si>
  <si>
    <t>Sales Tax</t>
  </si>
  <si>
    <t>Net Sales</t>
  </si>
  <si>
    <t>COS</t>
  </si>
  <si>
    <t>Gross Profit</t>
  </si>
  <si>
    <t>Selling Expenses</t>
  </si>
  <si>
    <t>Admin. Expenses</t>
  </si>
  <si>
    <t>EBITDA</t>
  </si>
  <si>
    <t>Amortization</t>
  </si>
  <si>
    <t>EBIT</t>
  </si>
  <si>
    <t>EBT</t>
  </si>
  <si>
    <t>Tax</t>
  </si>
  <si>
    <t>Balance Sheet</t>
  </si>
  <si>
    <t>Assets</t>
  </si>
  <si>
    <t>Current Assets</t>
  </si>
  <si>
    <t>Cash</t>
  </si>
  <si>
    <t>Acc Receivables</t>
  </si>
  <si>
    <t>Inventory</t>
  </si>
  <si>
    <t>Other CA</t>
  </si>
  <si>
    <t>Total Current Assets</t>
  </si>
  <si>
    <t>Non-Current Assets</t>
  </si>
  <si>
    <t>Investments</t>
  </si>
  <si>
    <t>Total Non-Current Assets</t>
  </si>
  <si>
    <t>Total Assets</t>
  </si>
  <si>
    <t>Liabilities</t>
  </si>
  <si>
    <t>Current Liab</t>
  </si>
  <si>
    <t>Acc Payable</t>
  </si>
  <si>
    <t>Short Term Loans</t>
  </si>
  <si>
    <t>Other CL</t>
  </si>
  <si>
    <t>Total Current Liabilities</t>
  </si>
  <si>
    <t>Non-Current Liab</t>
  </si>
  <si>
    <t>Long Term Loans</t>
  </si>
  <si>
    <t>Other Non-Curr Liab</t>
  </si>
  <si>
    <t>Total Long Term Liab</t>
  </si>
  <si>
    <t>Total Liabilities</t>
  </si>
  <si>
    <t>Capital</t>
  </si>
  <si>
    <t>Retained Earnings</t>
  </si>
  <si>
    <t>Total Equity</t>
  </si>
  <si>
    <t>Total Liab &amp; Equity</t>
  </si>
  <si>
    <t>Diff.</t>
  </si>
  <si>
    <t>Cash Flow Statement</t>
  </si>
  <si>
    <t>CF - Operating</t>
  </si>
  <si>
    <t>Dep/ Amort</t>
  </si>
  <si>
    <t>Change in AR</t>
  </si>
  <si>
    <t>Change Inv</t>
  </si>
  <si>
    <t>Change in AP</t>
  </si>
  <si>
    <t>Change in Other CA/CL</t>
  </si>
  <si>
    <t>CFO</t>
  </si>
  <si>
    <t>CF - Investing</t>
  </si>
  <si>
    <t>Inv in Other FA</t>
  </si>
  <si>
    <t>CFI</t>
  </si>
  <si>
    <t>CF - Financing</t>
  </si>
  <si>
    <t>Net Capital Injection</t>
  </si>
  <si>
    <t>Net LTL</t>
  </si>
  <si>
    <t>STL</t>
  </si>
  <si>
    <t>Others</t>
  </si>
  <si>
    <t>CFF</t>
  </si>
  <si>
    <t>Net Change in Cash</t>
  </si>
  <si>
    <t>Beginning Cash</t>
  </si>
  <si>
    <t>Ending Cash</t>
  </si>
  <si>
    <t>DCF Valuation</t>
  </si>
  <si>
    <t>Dep/Amort</t>
  </si>
  <si>
    <t>Change in WC</t>
  </si>
  <si>
    <t>Free Cash Flow to Firm</t>
  </si>
  <si>
    <t>Terminal Value</t>
  </si>
  <si>
    <t>FCFF with TV</t>
  </si>
  <si>
    <t>NPV</t>
  </si>
  <si>
    <t>NPV (USD)</t>
  </si>
  <si>
    <t>Vertical Analysis</t>
  </si>
  <si>
    <t>Gross Profit Margin</t>
  </si>
  <si>
    <t>Operating Profit Margin</t>
  </si>
  <si>
    <t>Net Profit Margin</t>
  </si>
  <si>
    <t>Current Assets/TotalAssets</t>
  </si>
  <si>
    <t>Cash/TotalAssets</t>
  </si>
  <si>
    <t>Short term loan/TotalAssets</t>
  </si>
  <si>
    <t>Long term loan/TotalAssets</t>
  </si>
  <si>
    <t>Equity/TotalAssets</t>
  </si>
  <si>
    <t>Horizantal Analysis</t>
  </si>
  <si>
    <t>Gross Revenue</t>
  </si>
  <si>
    <t>Current Assessts</t>
  </si>
  <si>
    <t>Account receivable</t>
  </si>
  <si>
    <t>Account payable</t>
  </si>
  <si>
    <t>Short term loan</t>
  </si>
  <si>
    <t>Long term loan</t>
  </si>
  <si>
    <t>Ratios</t>
  </si>
  <si>
    <t>Current Ratio</t>
  </si>
  <si>
    <t>Quick Ratio</t>
  </si>
  <si>
    <t>Return on equity</t>
  </si>
  <si>
    <t>Return on Assests</t>
  </si>
  <si>
    <t>Int. Coverage</t>
  </si>
  <si>
    <t>Total Loans/TA</t>
  </si>
  <si>
    <t>Total Loans/Equity</t>
  </si>
  <si>
    <t>Roe = Net profit margin x Asset Turnover x Equity Multiplier</t>
  </si>
  <si>
    <t>Roe = (Net Income/net sales) x (Net Sales / Total Assets) x (Total Assets/Equity)</t>
  </si>
  <si>
    <t>ROE declines due to equity growth and deleveraging, while profitability and shareholder value continue to improve.</t>
  </si>
  <si>
    <t>Break-even analysis</t>
  </si>
  <si>
    <t>Year</t>
  </si>
  <si>
    <t>Variable Costs (COS)</t>
  </si>
  <si>
    <t>Fixed Costs</t>
  </si>
  <si>
    <t>Contribution Margin</t>
  </si>
  <si>
    <t>CM Ratio</t>
  </si>
  <si>
    <t>Break-Even Revenue</t>
  </si>
  <si>
    <t>Total Revenue (TR)</t>
  </si>
  <si>
    <t>Total Costs (TC)</t>
  </si>
  <si>
    <t>Fixed Costs (FC)</t>
  </si>
  <si>
    <t>Break-Even Revenue (BEP)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</si>
</sst>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0.0%"/>
    <numFmt numFmtId="166" formatCode="#,##0.0"/>
    <numFmt numFmtId="167" formatCode="_(* #,##0.0_);_(* \(#,##0.0\);_(* &quot;-&quot;??_);_(@_)"/>
    <numFmt numFmtId="168" formatCode="0.00000"/>
    <numFmt numFmtId="169" formatCode="_(* #,##0.00_);_(* \(#,##0.00\);_(* &quot;-&quot;??_);_(@_)"/>
    <numFmt numFmtId="170" formatCode="0.000000000"/>
  </numFmts>
  <fonts count="53">
    <font>
      <sz val="10.0"/>
      <color rgb="FF000000"/>
      <name val="Arial"/>
      <scheme val="minor"/>
    </font>
    <font>
      <b/>
      <sz val="15.0"/>
      <color rgb="FF741B47"/>
      <name val="Courier New"/>
    </font>
    <font>
      <b/>
      <i/>
      <color rgb="FFA64D79"/>
      <name val="Arial"/>
    </font>
    <font>
      <color theme="1"/>
      <name val="Arial"/>
    </font>
    <font>
      <sz val="11.0"/>
      <color theme="1"/>
      <name val="Calibri"/>
    </font>
    <font>
      <sz val="11.0"/>
      <color rgb="FF0070C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color rgb="FF1155CC"/>
      <name val="Arial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color theme="1"/>
      <name val="Arial"/>
    </font>
    <font>
      <sz val="11.0"/>
      <color rgb="FF3C78D8"/>
      <name val="Calibri"/>
    </font>
    <font>
      <sz val="11.0"/>
      <color rgb="FF0B5394"/>
      <name val="Calibri"/>
    </font>
    <font>
      <sz val="11.0"/>
      <color rgb="FF1155CC"/>
      <name val="Calibri"/>
    </font>
    <font>
      <i/>
      <u/>
      <sz val="11.0"/>
      <color theme="1"/>
      <name val="Calibri"/>
    </font>
    <font>
      <b/>
      <u/>
      <color theme="1"/>
      <name val="Arial"/>
    </font>
    <font>
      <color rgb="FF1F1F1F"/>
      <name val="Arial"/>
    </font>
    <font>
      <b/>
      <color rgb="FF1F1F1F"/>
      <name val="Arial"/>
    </font>
    <font>
      <b/>
      <color theme="1"/>
      <name val="Arial"/>
    </font>
    <font>
      <b/>
      <u/>
      <color theme="1"/>
      <name val="Arial"/>
    </font>
    <font>
      <b/>
      <u/>
      <color theme="1"/>
      <name val="Arial"/>
    </font>
    <font>
      <sz val="10.0"/>
      <color theme="1"/>
      <name val="Arial"/>
    </font>
    <font>
      <sz val="11.0"/>
      <color rgb="FF000000"/>
      <name val="Calibri"/>
    </font>
    <font>
      <color rgb="FF000000"/>
      <name val="Arial"/>
    </font>
    <font>
      <b/>
      <color rgb="FF000000"/>
      <name val="Arial"/>
    </font>
    <font>
      <b/>
      <u/>
      <color theme="1"/>
      <name val="Arial"/>
    </font>
    <font>
      <b/>
      <i/>
      <u/>
      <sz val="11.0"/>
      <color theme="1"/>
      <name val="Calibri"/>
    </font>
    <font>
      <i/>
      <u/>
      <sz val="11.0"/>
      <color rgb="FF000000"/>
      <name val="Calibri"/>
    </font>
    <font>
      <b/>
      <u/>
      <sz val="11.0"/>
      <color rgb="FF000000"/>
      <name val="Calibri"/>
    </font>
    <font>
      <i/>
      <sz val="11.0"/>
      <color rgb="FF000000"/>
      <name val="Calibri"/>
    </font>
    <font>
      <sz val="11.0"/>
      <color rgb="FF1155CC"/>
      <name val="Arial"/>
    </font>
    <font>
      <b/>
      <u/>
      <sz val="11.0"/>
      <color rgb="FF000000"/>
      <name val="Calibri"/>
    </font>
    <font>
      <b/>
      <i/>
      <u/>
      <sz val="11.0"/>
      <color rgb="FF000000"/>
      <name val="Calibri"/>
    </font>
    <font>
      <b/>
      <sz val="11.0"/>
      <color rgb="FF000000"/>
      <name val="Calibri"/>
    </font>
    <font>
      <sz val="11.0"/>
      <color rgb="FF00B0F0"/>
      <name val="Calibri"/>
    </font>
    <font>
      <b/>
      <sz val="11.0"/>
      <color theme="1"/>
      <name val="Arial"/>
    </font>
    <font>
      <sz val="11.0"/>
      <color theme="1"/>
      <name val="Arial"/>
    </font>
    <font>
      <b/>
      <u/>
      <sz val="12.0"/>
      <color theme="1"/>
      <name val="Arial"/>
    </font>
    <font>
      <b/>
      <u/>
      <color theme="1"/>
      <name val="Arial"/>
    </font>
    <font>
      <b/>
      <u/>
      <sz val="11.0"/>
      <color theme="1"/>
      <name val="Arial"/>
    </font>
    <font>
      <b/>
      <u/>
      <sz val="14.0"/>
      <color theme="1"/>
      <name val="Arial"/>
    </font>
    <font>
      <b/>
      <sz val="11.0"/>
      <color theme="1"/>
      <name val="Calibri"/>
    </font>
    <font>
      <b/>
      <u/>
      <sz val="12.0"/>
      <color theme="1"/>
      <name val="Calibri"/>
    </font>
    <font>
      <b/>
      <u/>
      <sz val="13.0"/>
      <color rgb="FF000000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b/>
      <u/>
      <sz val="11.0"/>
      <color rgb="FF000000"/>
      <name val="Calibri"/>
    </font>
    <font/>
    <font>
      <b/>
      <sz val="12.0"/>
      <color rgb="FF222222"/>
      <name val="Google Sans"/>
    </font>
    <font>
      <b/>
      <color rgb="FF1F1F1F"/>
      <name val="Google Sans"/>
    </font>
    <font>
      <color rgb="FF1F1F1F"/>
      <name val="Google Sans"/>
    </font>
    <font>
      <b/>
      <u/>
      <color rgb="FF1F1F1F"/>
      <name val="Google Sans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5" numFmtId="10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8" numFmtId="9" xfId="0" applyAlignment="1" applyFont="1" applyNumberFormat="1">
      <alignment horizontal="center" vertical="bottom"/>
    </xf>
    <xf borderId="1" fillId="0" fontId="3" numFmtId="0" xfId="0" applyAlignment="1" applyBorder="1" applyFont="1">
      <alignment vertical="bottom"/>
    </xf>
    <xf borderId="1" fillId="0" fontId="9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12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3" xfId="0" applyAlignment="1" applyBorder="1" applyFont="1" applyNumberFormat="1">
      <alignment horizontal="center" vertical="bottom"/>
    </xf>
    <xf borderId="0" fillId="0" fontId="15" numFmtId="0" xfId="0" applyAlignment="1" applyFont="1">
      <alignment vertical="bottom"/>
    </xf>
    <xf borderId="0" fillId="0" fontId="5" numFmtId="9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3" numFmtId="10" xfId="0" applyAlignment="1" applyFont="1" applyNumberFormat="1">
      <alignment vertical="bottom"/>
    </xf>
    <xf borderId="0" fillId="0" fontId="5" numFmtId="10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horizontal="center"/>
    </xf>
    <xf borderId="0" fillId="0" fontId="14" numFmtId="0" xfId="0" applyAlignment="1" applyFont="1">
      <alignment horizontal="center" vertical="bottom"/>
    </xf>
    <xf borderId="0" fillId="2" fontId="8" numFmtId="0" xfId="0" applyAlignment="1" applyFill="1" applyFont="1">
      <alignment horizontal="center"/>
    </xf>
    <xf borderId="0" fillId="0" fontId="22" numFmtId="164" xfId="0" applyAlignment="1" applyFont="1" applyNumberFormat="1">
      <alignment horizontal="center"/>
    </xf>
    <xf borderId="0" fillId="0" fontId="23" numFmtId="0" xfId="0" applyAlignment="1" applyFont="1">
      <alignment horizontal="center" vertical="bottom"/>
    </xf>
    <xf borderId="0" fillId="2" fontId="24" numFmtId="164" xfId="0" applyAlignment="1" applyFont="1" applyNumberFormat="1">
      <alignment horizontal="center"/>
    </xf>
    <xf borderId="0" fillId="0" fontId="23" numFmtId="164" xfId="0" applyAlignment="1" applyFont="1" applyNumberFormat="1">
      <alignment horizontal="center" vertical="bottom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19" numFmtId="164" xfId="0" applyAlignment="1" applyFont="1" applyNumberFormat="1">
      <alignment horizontal="center"/>
    </xf>
    <xf borderId="0" fillId="0" fontId="24" numFmtId="0" xfId="0" applyFont="1"/>
    <xf borderId="0" fillId="2" fontId="25" numFmtId="1" xfId="0" applyAlignment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24" numFmtId="164" xfId="0" applyAlignment="1" applyFont="1" applyNumberFormat="1">
      <alignment horizontal="center"/>
    </xf>
    <xf borderId="0" fillId="0" fontId="25" numFmtId="1" xfId="0" applyAlignment="1" applyFont="1" applyNumberFormat="1">
      <alignment horizontal="center"/>
    </xf>
    <xf borderId="0" fillId="0" fontId="23" numFmtId="2" xfId="0" applyAlignment="1" applyFont="1" applyNumberFormat="1">
      <alignment horizontal="center" vertical="bottom"/>
    </xf>
    <xf borderId="0" fillId="0" fontId="23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19" numFmtId="1" xfId="0" applyAlignment="1" applyFont="1" applyNumberFormat="1">
      <alignment horizontal="center"/>
    </xf>
    <xf borderId="0" fillId="0" fontId="3" numFmtId="1" xfId="0" applyFont="1" applyNumberFormat="1"/>
    <xf borderId="0" fillId="0" fontId="26" numFmtId="1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27" numFmtId="0" xfId="0" applyAlignment="1" applyFont="1">
      <alignment vertical="bottom"/>
    </xf>
    <xf borderId="0" fillId="0" fontId="4" numFmtId="164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/>
    </xf>
    <xf borderId="0" fillId="0" fontId="28" numFmtId="0" xfId="0" applyAlignment="1" applyFont="1">
      <alignment shrinkToFit="0" vertical="bottom" wrapText="0"/>
    </xf>
    <xf borderId="0" fillId="0" fontId="23" numFmtId="0" xfId="0" applyAlignment="1" applyFont="1">
      <alignment horizontal="center" shrinkToFit="0" vertical="bottom" wrapText="0"/>
    </xf>
    <xf borderId="0" fillId="0" fontId="29" numFmtId="0" xfId="0" applyAlignment="1" applyFont="1">
      <alignment horizontal="center" shrinkToFit="0" vertical="bottom" wrapText="0"/>
    </xf>
    <xf borderId="0" fillId="0" fontId="30" numFmtId="0" xfId="0" applyAlignment="1" applyFont="1">
      <alignment horizontal="center" shrinkToFit="0" vertical="bottom" wrapText="0"/>
    </xf>
    <xf borderId="0" fillId="0" fontId="31" numFmtId="9" xfId="0" applyAlignment="1" applyFont="1" applyNumberFormat="1">
      <alignment horizontal="center"/>
    </xf>
    <xf borderId="0" fillId="0" fontId="3" numFmtId="9" xfId="0" applyFont="1" applyNumberFormat="1"/>
    <xf borderId="0" fillId="0" fontId="3" numFmtId="10" xfId="0" applyFont="1" applyNumberFormat="1"/>
    <xf borderId="0" fillId="0" fontId="8" numFmtId="9" xfId="0" applyAlignment="1" applyFont="1" applyNumberFormat="1">
      <alignment horizontal="center"/>
    </xf>
    <xf borderId="0" fillId="0" fontId="32" numFmtId="0" xfId="0" applyAlignment="1" applyFont="1">
      <alignment shrinkToFit="0" vertical="bottom" wrapText="0"/>
    </xf>
    <xf borderId="0" fillId="0" fontId="8" numFmtId="166" xfId="0" applyAlignment="1" applyFont="1" applyNumberFormat="1">
      <alignment horizontal="center" vertical="bottom"/>
    </xf>
    <xf borderId="0" fillId="0" fontId="14" numFmtId="166" xfId="0" applyAlignment="1" applyFont="1" applyNumberFormat="1">
      <alignment horizontal="center" vertical="bottom"/>
    </xf>
    <xf borderId="0" fillId="0" fontId="33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34" numFmtId="0" xfId="0" applyAlignment="1" applyFont="1">
      <alignment shrinkToFit="0" vertical="bottom" wrapText="0"/>
    </xf>
    <xf borderId="2" fillId="0" fontId="34" numFmtId="0" xfId="0" applyAlignment="1" applyBorder="1" applyFont="1">
      <alignment horizontal="center" shrinkToFit="0" vertical="bottom" wrapText="0"/>
    </xf>
    <xf borderId="0" fillId="0" fontId="19" numFmtId="9" xfId="0" applyAlignment="1" applyFont="1" applyNumberFormat="1">
      <alignment horizontal="center"/>
    </xf>
    <xf borderId="0" fillId="0" fontId="4" numFmtId="0" xfId="0" applyAlignment="1" applyFont="1">
      <alignment horizontal="center" vertical="bottom"/>
    </xf>
    <xf borderId="0" fillId="0" fontId="14" numFmtId="167" xfId="0" applyAlignment="1" applyFont="1" applyNumberFormat="1">
      <alignment horizontal="right" vertical="bottom"/>
    </xf>
    <xf borderId="0" fillId="0" fontId="35" numFmtId="167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9" xfId="0" applyAlignment="1" applyFont="1" applyNumberForma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7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36" numFmtId="0" xfId="0" applyFont="1"/>
    <xf borderId="0" fillId="0" fontId="37" numFmtId="0" xfId="0" applyFont="1"/>
    <xf borderId="0" fillId="0" fontId="31" numFmtId="0" xfId="0" applyFont="1"/>
    <xf borderId="0" fillId="0" fontId="38" numFmtId="0" xfId="0" applyAlignment="1" applyFont="1">
      <alignment vertical="bottom"/>
    </xf>
    <xf borderId="0" fillId="0" fontId="39" numFmtId="0" xfId="0" applyFont="1"/>
    <xf borderId="0" fillId="0" fontId="3" numFmtId="0" xfId="0" applyAlignment="1" applyFont="1">
      <alignment horizontal="center" vertical="bottom"/>
    </xf>
    <xf borderId="0" fillId="0" fontId="40" numFmtId="0" xfId="0" applyFont="1"/>
    <xf borderId="0" fillId="0" fontId="3" numFmtId="164" xfId="0" applyFont="1" applyNumberFormat="1"/>
    <xf borderId="0" fillId="0" fontId="3" numFmtId="3" xfId="0" applyFont="1" applyNumberFormat="1"/>
    <xf borderId="2" fillId="0" fontId="19" numFmtId="164" xfId="0" applyBorder="1" applyFont="1" applyNumberFormat="1"/>
    <xf borderId="2" fillId="0" fontId="19" numFmtId="164" xfId="0" applyAlignment="1" applyBorder="1" applyFont="1" applyNumberFormat="1">
      <alignment horizontal="center"/>
    </xf>
    <xf borderId="3" fillId="3" fontId="19" numFmtId="0" xfId="0" applyBorder="1" applyFill="1" applyFont="1"/>
    <xf borderId="2" fillId="3" fontId="3" numFmtId="0" xfId="0" applyBorder="1" applyFont="1"/>
    <xf borderId="2" fillId="3" fontId="19" numFmtId="0" xfId="0" applyAlignment="1" applyBorder="1" applyFont="1">
      <alignment horizontal="center"/>
    </xf>
    <xf borderId="4" fillId="3" fontId="19" numFmtId="0" xfId="0" applyAlignment="1" applyBorder="1" applyFont="1">
      <alignment horizontal="center"/>
    </xf>
    <xf borderId="5" fillId="3" fontId="3" numFmtId="0" xfId="0" applyBorder="1" applyFont="1"/>
    <xf borderId="0" fillId="3" fontId="3" numFmtId="0" xfId="0" applyFont="1"/>
    <xf borderId="0" fillId="3" fontId="3" numFmtId="164" xfId="0" applyAlignment="1" applyFont="1" applyNumberFormat="1">
      <alignment horizontal="center"/>
    </xf>
    <xf borderId="6" fillId="3" fontId="3" numFmtId="164" xfId="0" applyAlignment="1" applyBorder="1" applyFont="1" applyNumberFormat="1">
      <alignment horizontal="center"/>
    </xf>
    <xf borderId="7" fillId="3" fontId="3" numFmtId="0" xfId="0" applyBorder="1" applyFont="1"/>
    <xf borderId="8" fillId="3" fontId="3" numFmtId="0" xfId="0" applyBorder="1" applyFont="1"/>
    <xf borderId="9" fillId="3" fontId="3" numFmtId="164" xfId="0" applyAlignment="1" applyBorder="1" applyFont="1" applyNumberFormat="1">
      <alignment horizontal="center"/>
    </xf>
    <xf borderId="10" fillId="3" fontId="3" numFmtId="164" xfId="0" applyAlignment="1" applyBorder="1" applyFont="1" applyNumberFormat="1">
      <alignment horizontal="center"/>
    </xf>
    <xf borderId="0" fillId="2" fontId="3" numFmtId="0" xfId="0" applyFont="1"/>
    <xf borderId="0" fillId="0" fontId="41" numFmtId="0" xfId="0" applyAlignment="1" applyFont="1">
      <alignment vertical="bottom"/>
    </xf>
    <xf borderId="0" fillId="0" fontId="3" numFmtId="2" xfId="0" applyFont="1" applyNumberFormat="1"/>
    <xf borderId="2" fillId="0" fontId="19" numFmtId="2" xfId="0" applyBorder="1" applyFont="1" applyNumberFormat="1"/>
    <xf borderId="2" fillId="0" fontId="19" numFmtId="0" xfId="0" applyBorder="1" applyFont="1"/>
    <xf borderId="0" fillId="0" fontId="19" numFmtId="164" xfId="0" applyFont="1" applyNumberFormat="1"/>
    <xf borderId="9" fillId="0" fontId="19" numFmtId="164" xfId="0" applyBorder="1" applyFont="1" applyNumberFormat="1"/>
    <xf borderId="2" fillId="0" fontId="3" numFmtId="164" xfId="0" applyBorder="1" applyFont="1" applyNumberFormat="1"/>
    <xf borderId="9" fillId="3" fontId="19" numFmtId="164" xfId="0" applyAlignment="1" applyBorder="1" applyFont="1" applyNumberFormat="1">
      <alignment horizontal="center"/>
    </xf>
    <xf borderId="10" fillId="3" fontId="19" numFmtId="164" xfId="0" applyAlignment="1" applyBorder="1" applyFont="1" applyNumberFormat="1">
      <alignment horizontal="center"/>
    </xf>
    <xf borderId="9" fillId="0" fontId="19" numFmtId="164" xfId="0" applyAlignment="1" applyBorder="1" applyFont="1" applyNumberFormat="1">
      <alignment horizontal="center"/>
    </xf>
    <xf borderId="11" fillId="0" fontId="4" numFmtId="0" xfId="0" applyAlignment="1" applyBorder="1" applyFont="1">
      <alignment vertical="bottom"/>
    </xf>
    <xf borderId="11" fillId="0" fontId="5" numFmtId="167" xfId="0" applyAlignment="1" applyBorder="1" applyFont="1" applyNumberFormat="1">
      <alignment horizontal="right" vertical="bottom"/>
    </xf>
    <xf borderId="11" fillId="0" fontId="4" numFmtId="167" xfId="0" applyAlignment="1" applyBorder="1" applyFont="1" applyNumberFormat="1">
      <alignment horizontal="right" vertical="bottom"/>
    </xf>
    <xf borderId="11" fillId="0" fontId="42" numFmtId="0" xfId="0" applyAlignment="1" applyBorder="1" applyFont="1">
      <alignment vertical="bottom"/>
    </xf>
    <xf borderId="11" fillId="0" fontId="42" numFmtId="167" xfId="0" applyAlignment="1" applyBorder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3" numFmtId="0" xfId="0" applyAlignment="1" applyFont="1">
      <alignment vertical="bottom"/>
    </xf>
    <xf borderId="0" fillId="0" fontId="35" numFmtId="167" xfId="0" applyAlignment="1" applyFont="1" applyNumberFormat="1">
      <alignment horizontal="center" vertical="bottom"/>
    </xf>
    <xf borderId="0" fillId="0" fontId="4" numFmtId="167" xfId="0" applyAlignment="1" applyFont="1" applyNumberFormat="1">
      <alignment horizontal="center" vertical="bottom"/>
    </xf>
    <xf borderId="0" fillId="0" fontId="42" numFmtId="0" xfId="0" applyAlignment="1" applyFont="1">
      <alignment vertical="bottom"/>
    </xf>
    <xf borderId="12" fillId="0" fontId="42" numFmtId="167" xfId="0" applyAlignment="1" applyBorder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13" fillId="2" fontId="4" numFmtId="167" xfId="0" applyAlignment="1" applyBorder="1" applyFont="1" applyNumberFormat="1">
      <alignment horizontal="right" vertical="bottom"/>
    </xf>
    <xf borderId="13" fillId="4" fontId="35" numFmtId="167" xfId="0" applyAlignment="1" applyBorder="1" applyFill="1" applyFont="1" applyNumberFormat="1">
      <alignment horizontal="right" vertical="bottom"/>
    </xf>
    <xf borderId="13" fillId="4" fontId="4" numFmtId="167" xfId="0" applyAlignment="1" applyBorder="1" applyFont="1" applyNumberFormat="1">
      <alignment horizontal="right" vertical="bottom"/>
    </xf>
    <xf borderId="12" fillId="0" fontId="4" numFmtId="167" xfId="0" applyAlignment="1" applyBorder="1" applyFont="1" applyNumberFormat="1">
      <alignment horizontal="right" vertical="bottom"/>
    </xf>
    <xf borderId="0" fillId="0" fontId="44" numFmtId="0" xfId="0" applyAlignment="1" applyFont="1">
      <alignment shrinkToFit="0" vertical="bottom" wrapText="0"/>
    </xf>
    <xf borderId="0" fillId="0" fontId="3" numFmtId="167" xfId="0" applyFont="1" applyNumberFormat="1"/>
    <xf borderId="0" fillId="0" fontId="3" numFmtId="168" xfId="0" applyFont="1" applyNumberFormat="1"/>
    <xf borderId="14" fillId="0" fontId="42" numFmtId="167" xfId="0" applyAlignment="1" applyBorder="1" applyFont="1" applyNumberFormat="1">
      <alignment horizontal="right" vertical="bottom"/>
    </xf>
    <xf borderId="15" fillId="0" fontId="42" numFmtId="167" xfId="0" applyAlignment="1" applyBorder="1" applyFont="1" applyNumberFormat="1">
      <alignment horizontal="right" vertical="bottom"/>
    </xf>
    <xf borderId="16" fillId="0" fontId="42" numFmtId="167" xfId="0" applyAlignment="1" applyBorder="1" applyFont="1" applyNumberFormat="1">
      <alignment horizontal="right" vertical="bottom"/>
    </xf>
    <xf borderId="0" fillId="0" fontId="45" numFmtId="0" xfId="0" applyAlignment="1" applyFont="1">
      <alignment vertical="bottom"/>
    </xf>
    <xf borderId="13" fillId="5" fontId="46" numFmtId="167" xfId="0" applyAlignment="1" applyBorder="1" applyFill="1" applyFont="1" applyNumberFormat="1">
      <alignment horizontal="right" vertical="bottom"/>
    </xf>
    <xf borderId="0" fillId="0" fontId="4" numFmtId="169" xfId="0" applyAlignment="1" applyFont="1" applyNumberFormat="1">
      <alignment horizontal="right" vertical="bottom"/>
    </xf>
    <xf borderId="14" fillId="0" fontId="42" numFmtId="169" xfId="0" applyAlignment="1" applyBorder="1" applyFont="1" applyNumberFormat="1">
      <alignment horizontal="right" vertical="bottom"/>
    </xf>
    <xf borderId="0" fillId="0" fontId="4" numFmtId="169" xfId="0" applyAlignment="1" applyFont="1" applyNumberFormat="1">
      <alignment vertical="bottom"/>
    </xf>
    <xf borderId="14" fillId="0" fontId="4" numFmtId="169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7" fillId="0" fontId="47" numFmtId="0" xfId="0" applyAlignment="1" applyBorder="1" applyFont="1">
      <alignment shrinkToFit="0" vertical="bottom" wrapText="0"/>
    </xf>
    <xf borderId="9" fillId="0" fontId="48" numFmtId="0" xfId="0" applyBorder="1" applyFont="1"/>
    <xf borderId="10" fillId="0" fontId="48" numFmtId="0" xfId="0" applyBorder="1" applyFont="1"/>
    <xf borderId="1" fillId="0" fontId="3" numFmtId="0" xfId="0" applyBorder="1" applyFont="1"/>
    <xf borderId="17" fillId="0" fontId="23" numFmtId="0" xfId="0" applyAlignment="1" applyBorder="1" applyFont="1">
      <alignment horizontal="left" shrinkToFit="0" vertical="bottom" wrapText="0"/>
    </xf>
    <xf borderId="1" fillId="0" fontId="3" numFmtId="10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17" fillId="0" fontId="23" numFmtId="0" xfId="0" applyAlignment="1" applyBorder="1" applyFont="1">
      <alignment shrinkToFit="0" vertical="bottom" wrapText="0"/>
    </xf>
    <xf borderId="1" fillId="0" fontId="3" numFmtId="10" xfId="0" applyBorder="1" applyFont="1" applyNumberFormat="1"/>
    <xf borderId="17" fillId="0" fontId="4" numFmtId="0" xfId="0" applyAlignment="1" applyBorder="1" applyFont="1">
      <alignment shrinkToFit="0" vertical="bottom" wrapText="0"/>
    </xf>
    <xf borderId="1" fillId="0" fontId="3" numFmtId="2" xfId="0" applyBorder="1" applyFont="1" applyNumberFormat="1"/>
    <xf borderId="0" fillId="3" fontId="19" numFmtId="0" xfId="0" applyFont="1"/>
    <xf borderId="0" fillId="6" fontId="19" numFmtId="0" xfId="0" applyFill="1" applyFont="1"/>
    <xf borderId="0" fillId="7" fontId="49" numFmtId="0" xfId="0" applyFill="1" applyFont="1"/>
    <xf borderId="11" fillId="0" fontId="50" numFmtId="0" xfId="0" applyBorder="1" applyFont="1"/>
    <xf borderId="0" fillId="7" fontId="51" numFmtId="0" xfId="0" applyFont="1"/>
    <xf borderId="11" fillId="0" fontId="52" numFmtId="0" xfId="0" applyBorder="1" applyFont="1"/>
    <xf borderId="11" fillId="0" fontId="51" numFmtId="164" xfId="0" applyBorder="1" applyFont="1" applyNumberFormat="1"/>
    <xf borderId="11" fillId="0" fontId="51" numFmtId="170" xfId="0" applyBorder="1" applyFont="1" applyNumberFormat="1"/>
    <xf borderId="11" fillId="0" fontId="50" numFmtId="2" xfId="0" applyBorder="1" applyFont="1" applyNumberFormat="1"/>
    <xf borderId="0" fillId="8" fontId="50" numFmtId="0" xfId="0" applyFill="1" applyFont="1"/>
    <xf borderId="0" fillId="8" fontId="51" numFmtId="164" xfId="0" applyFont="1" applyNumberFormat="1"/>
    <xf borderId="0" fillId="8" fontId="5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ourier New"/>
              </a:defRPr>
            </a:pPr>
            <a:r>
              <a:rPr b="1" i="0" sz="1800">
                <a:solidFill>
                  <a:srgbClr val="000000"/>
                </a:solidFill>
                <a:latin typeface="Courier New"/>
              </a:rPr>
              <a:t>Projected Revenue Expansion: 2026 – 2030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'Income Statement'!$A$4</c:f>
            </c:strRef>
          </c:tx>
          <c:spPr>
            <a:solidFill>
              <a:srgbClr val="C9DAF8"/>
            </a:solidFill>
            <a:ln cmpd="sng">
              <a:solidFill>
                <a:srgbClr val="000000"/>
              </a:solidFill>
            </a:ln>
          </c:spPr>
          <c:cat>
            <c:strRef>
              <c:f>'Income Statement'!$B$3:$F$3</c:f>
            </c:strRef>
          </c:cat>
          <c:val>
            <c:numRef>
              <c:f>'Income Statement'!$B$4:$F$4</c:f>
              <c:numCache/>
            </c:numRef>
          </c:val>
        </c:ser>
        <c:ser>
          <c:idx val="1"/>
          <c:order val="1"/>
          <c:tx>
            <c:strRef>
              <c:f>'Income Statement'!$A$6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cat>
            <c:strRef>
              <c:f>'Income Statement'!$B$3:$F$3</c:f>
            </c:strRef>
          </c:cat>
          <c:val>
            <c:numRef>
              <c:f>'Income Statement'!$B$6:$F$6</c:f>
              <c:numCache/>
            </c:numRef>
          </c:val>
        </c:ser>
        <c:axId val="1984446478"/>
        <c:axId val="1987191535"/>
      </c:barChart>
      <c:catAx>
        <c:axId val="1984446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i="1" sz="1400">
                <a:solidFill>
                  <a:srgbClr val="434343"/>
                </a:solidFill>
                <a:latin typeface="Courier New"/>
              </a:defRPr>
            </a:pPr>
          </a:p>
        </c:txPr>
        <c:crossAx val="1987191535"/>
      </c:catAx>
      <c:valAx>
        <c:axId val="1987191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1" sz="1400">
                <a:solidFill>
                  <a:srgbClr val="666666"/>
                </a:solidFill>
                <a:latin typeface="Courier New"/>
              </a:defRPr>
            </a:pPr>
          </a:p>
        </c:txPr>
        <c:crossAx val="1984446478"/>
      </c:valAx>
    </c:plotArea>
    <c:legend>
      <c:legendPos val="r"/>
      <c:overlay val="0"/>
      <c:txPr>
        <a:bodyPr/>
        <a:lstStyle/>
        <a:p>
          <a:pPr lvl="0">
            <a:defRPr b="1" i="1" sz="1400">
              <a:solidFill>
                <a:srgbClr val="434343"/>
              </a:solidFill>
              <a:latin typeface="Courier New"/>
            </a:defRPr>
          </a:pPr>
        </a:p>
      </c:txPr>
    </c:legend>
    <c:plotVisOnly val="1"/>
  </c:chart>
  <c:spPr>
    <a:solidFill>
      <a:srgbClr val="D9D2E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Courier New"/>
              </a:defRPr>
            </a:pPr>
            <a:r>
              <a:rPr b="1" i="0" sz="1600">
                <a:solidFill>
                  <a:srgbClr val="000000"/>
                </a:solidFill>
                <a:latin typeface="Courier New"/>
              </a:rPr>
              <a:t> Expanding Profitability &amp; Operational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v>Gross Margin</c:v>
          </c:tx>
          <c:spPr>
            <a:ln cmpd="sng">
              <a:solidFill>
                <a:srgbClr val="1C4587"/>
              </a:solidFill>
            </a:ln>
          </c:spPr>
          <c:marker>
            <c:symbol val="circle"/>
            <c:size val="7"/>
            <c:spPr>
              <a:solidFill>
                <a:srgbClr val="1C4587"/>
              </a:solidFill>
              <a:ln cmpd="sng">
                <a:solidFill>
                  <a:srgbClr val="1C4587"/>
                </a:solidFill>
              </a:ln>
            </c:spPr>
          </c:marker>
          <c:cat>
            <c:strRef>
              <c:f>Ratios!$D$2:$H$2</c:f>
            </c:strRef>
          </c:cat>
          <c:val>
            <c:numRef>
              <c:f>Ratios!$D$4:$H$4</c:f>
              <c:numCache/>
            </c:numRef>
          </c:val>
          <c:smooth val="1"/>
        </c:ser>
        <c:ser>
          <c:idx val="1"/>
          <c:order val="1"/>
          <c:tx>
            <c:v>Operating Margin</c:v>
          </c:tx>
          <c:spPr>
            <a:ln cmpd="sng">
              <a:solidFill>
                <a:srgbClr val="660000"/>
              </a:solidFill>
            </a:ln>
          </c:spPr>
          <c:marker>
            <c:symbol val="circle"/>
            <c:size val="7"/>
            <c:spPr>
              <a:solidFill>
                <a:srgbClr val="660000"/>
              </a:solidFill>
              <a:ln cmpd="sng">
                <a:solidFill>
                  <a:srgbClr val="660000"/>
                </a:solidFill>
              </a:ln>
            </c:spPr>
          </c:marker>
          <c:cat>
            <c:strRef>
              <c:f>Ratios!$D$2:$H$2</c:f>
            </c:strRef>
          </c:cat>
          <c:val>
            <c:numRef>
              <c:f>Ratios!$D$5:$H$5</c:f>
              <c:numCache/>
            </c:numRef>
          </c:val>
          <c:smooth val="1"/>
        </c:ser>
        <c:ser>
          <c:idx val="2"/>
          <c:order val="2"/>
          <c:tx>
            <c:v>Net Margin</c:v>
          </c:tx>
          <c:spPr>
            <a:ln cmpd="sng">
              <a:solidFill>
                <a:srgbClr val="6AA84F"/>
              </a:solidFill>
            </a:ln>
          </c:spPr>
          <c:marker>
            <c:symbol val="circle"/>
            <c:size val="7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cat>
            <c:strRef>
              <c:f>Ratios!$D$2:$H$2</c:f>
            </c:strRef>
          </c:cat>
          <c:val>
            <c:numRef>
              <c:f>Ratios!$D$6:$H$6</c:f>
              <c:numCache/>
            </c:numRef>
          </c:val>
          <c:smooth val="1"/>
        </c:ser>
        <c:axId val="1984051016"/>
        <c:axId val="100596386"/>
      </c:lineChart>
      <c:catAx>
        <c:axId val="1984051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i="1">
                <a:solidFill>
                  <a:srgbClr val="000000"/>
                </a:solidFill>
                <a:latin typeface="Courier New"/>
              </a:defRPr>
            </a:pPr>
          </a:p>
        </c:txPr>
        <c:crossAx val="100596386"/>
      </c:catAx>
      <c:valAx>
        <c:axId val="100596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1" sz="1200">
                <a:solidFill>
                  <a:srgbClr val="000000"/>
                </a:solidFill>
                <a:latin typeface="Arial black"/>
              </a:defRPr>
            </a:pPr>
          </a:p>
        </c:txPr>
        <c:crossAx val="1984051016"/>
      </c:valAx>
    </c:plotArea>
    <c:legend>
      <c:legendPos val="r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Courier New"/>
            </a:defRPr>
          </a:pPr>
        </a:p>
      </c:txPr>
    </c:legend>
    <c:plotVisOnly val="1"/>
  </c:chart>
  <c:spPr>
    <a:solidFill>
      <a:srgbClr val="D9D9D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434343"/>
                </a:solidFill>
                <a:latin typeface="serif"/>
              </a:defRPr>
            </a:pPr>
            <a:r>
              <a:rPr b="1" i="0">
                <a:solidFill>
                  <a:srgbClr val="434343"/>
                </a:solidFill>
                <a:latin typeface="serif"/>
              </a:rPr>
              <a:t>Return on Equity (ROE): Normalizing for Sustainable Value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38100">
              <a:solidFill>
                <a:srgbClr val="674EA7">
                  <a:alpha val="100000"/>
                </a:srgbClr>
              </a:solidFill>
              <a:prstDash val="lgDashDot"/>
            </a:ln>
          </c:spPr>
          <c:marker>
            <c:symbol val="circle"/>
            <c:size val="14"/>
            <c:spPr>
              <a:solidFill>
                <a:srgbClr val="674EA7">
                  <a:alpha val="100000"/>
                </a:srgbClr>
              </a:solidFill>
              <a:ln cmpd="sng">
                <a:solidFill>
                  <a:srgbClr val="674EA7">
                    <a:alpha val="100000"/>
                  </a:srgbClr>
                </a:solidFill>
              </a:ln>
            </c:spPr>
          </c:marker>
          <c:cat>
            <c:strRef>
              <c:f>'Dupont Analysis'!$C$5:$G$5</c:f>
            </c:strRef>
          </c:cat>
          <c:val>
            <c:numRef>
              <c:f>'Dupont Analysis'!$C$6:$G$6</c:f>
              <c:numCache/>
            </c:numRef>
          </c:val>
          <c:smooth val="0"/>
        </c:ser>
        <c:axId val="1108861524"/>
        <c:axId val="2020632027"/>
      </c:lineChart>
      <c:catAx>
        <c:axId val="1108861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serif"/>
                  </a:defRPr>
                </a:pPr>
                <a:r>
                  <a:rPr b="0" i="0">
                    <a:solidFill>
                      <a:srgbClr val="000000"/>
                    </a:solidFill>
                    <a:latin typeface="serif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-1800000"/>
          <a:lstStyle/>
          <a:p>
            <a:pPr lvl="0">
              <a:defRPr b="1" i="1">
                <a:solidFill>
                  <a:srgbClr val="000000"/>
                </a:solidFill>
                <a:latin typeface="serif"/>
              </a:defRPr>
            </a:pPr>
          </a:p>
        </c:txPr>
        <c:crossAx val="2020632027"/>
      </c:catAx>
      <c:valAx>
        <c:axId val="2020632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serif"/>
              </a:defRPr>
            </a:pPr>
          </a:p>
        </c:txPr>
        <c:crossAx val="1108861524"/>
      </c:valAx>
    </c:plotArea>
    <c:legend>
      <c:legendPos val="r"/>
      <c:overlay val="0"/>
      <c:txPr>
        <a:bodyPr/>
        <a:lstStyle/>
        <a:p>
          <a:pPr lvl="0">
            <a:defRPr b="1" i="1">
              <a:solidFill>
                <a:srgbClr val="980000"/>
              </a:solidFill>
              <a:latin typeface="serif"/>
            </a:defRPr>
          </a:pPr>
        </a:p>
      </c:txPr>
    </c:legend>
    <c:plotVisOnly val="1"/>
  </c:chart>
  <c:spPr>
    <a:solidFill>
      <a:srgbClr val="FFF2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Courier New"/>
              </a:defRPr>
            </a:pPr>
            <a:r>
              <a:rPr b="1" i="1">
                <a:solidFill>
                  <a:srgbClr val="000000"/>
                </a:solidFill>
                <a:latin typeface="Courier New"/>
              </a:rPr>
              <a:t>Luxewall Break-Even Analysis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'Break-even analysis'!$K$3</c:f>
            </c:strRef>
          </c:tx>
          <c:spPr>
            <a:solidFill>
              <a:srgbClr val="073763">
                <a:alpha val="30000"/>
              </a:srgbClr>
            </a:solidFill>
            <a:ln cmpd="sng">
              <a:solidFill>
                <a:srgbClr val="073763"/>
              </a:solidFill>
            </a:ln>
          </c:spPr>
          <c:cat>
            <c:strRef>
              <c:f>'Break-even analysis'!$J$4:$J$8</c:f>
            </c:strRef>
          </c:cat>
          <c:val>
            <c:numRef>
              <c:f>'Break-even analysis'!$K$4:$K$8</c:f>
              <c:numCache/>
            </c:numRef>
          </c:val>
        </c:ser>
        <c:ser>
          <c:idx val="1"/>
          <c:order val="1"/>
          <c:tx>
            <c:strRef>
              <c:f>'Break-even analysis'!$L$3</c:f>
            </c:strRef>
          </c:tx>
          <c:spPr>
            <a:solidFill>
              <a:srgbClr val="85200C">
                <a:alpha val="30000"/>
              </a:srgbClr>
            </a:solidFill>
            <a:ln cmpd="sng">
              <a:solidFill>
                <a:srgbClr val="85200C"/>
              </a:solidFill>
            </a:ln>
          </c:spPr>
          <c:cat>
            <c:strRef>
              <c:f>'Break-even analysis'!$J$4:$J$8</c:f>
            </c:strRef>
          </c:cat>
          <c:val>
            <c:numRef>
              <c:f>'Break-even analysis'!$L$4:$L$8</c:f>
              <c:numCache/>
            </c:numRef>
          </c:val>
        </c:ser>
        <c:ser>
          <c:idx val="2"/>
          <c:order val="2"/>
          <c:tx>
            <c:strRef>
              <c:f>'Break-even analysis'!$M$3</c:f>
            </c:strRef>
          </c:tx>
          <c:spPr>
            <a:solidFill>
              <a:srgbClr val="BF9000">
                <a:alpha val="30000"/>
              </a:srgbClr>
            </a:solidFill>
            <a:ln cmpd="sng">
              <a:solidFill>
                <a:srgbClr val="BF9000"/>
              </a:solidFill>
            </a:ln>
          </c:spPr>
          <c:cat>
            <c:strRef>
              <c:f>'Break-even analysis'!$J$4:$J$8</c:f>
            </c:strRef>
          </c:cat>
          <c:val>
            <c:numRef>
              <c:f>'Break-even analysis'!$M$4:$M$8</c:f>
              <c:numCache/>
            </c:numRef>
          </c:val>
        </c:ser>
        <c:ser>
          <c:idx val="3"/>
          <c:order val="3"/>
          <c:tx>
            <c:strRef>
              <c:f>'Break-even analysis'!$N$3</c:f>
            </c:strRef>
          </c:tx>
          <c:spPr>
            <a:solidFill>
              <a:srgbClr val="274E13">
                <a:alpha val="30000"/>
              </a:srgbClr>
            </a:solidFill>
            <a:ln cmpd="sng">
              <a:solidFill>
                <a:srgbClr val="274E13"/>
              </a:solidFill>
            </a:ln>
          </c:spPr>
          <c:cat>
            <c:strRef>
              <c:f>'Break-even analysis'!$J$4:$J$8</c:f>
            </c:strRef>
          </c:cat>
          <c:val>
            <c:numRef>
              <c:f>'Break-even analysis'!$N$4:$N$8</c:f>
              <c:numCache/>
            </c:numRef>
          </c:val>
        </c:ser>
        <c:axId val="1421439145"/>
        <c:axId val="1293700840"/>
      </c:areaChart>
      <c:catAx>
        <c:axId val="1421439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 i="0">
                    <a:solidFill>
                      <a:srgbClr val="000000"/>
                    </a:solidFill>
                    <a:latin typeface="sans-serif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i="1">
                <a:solidFill>
                  <a:srgbClr val="000000"/>
                </a:solidFill>
                <a:latin typeface="Garamond"/>
              </a:defRPr>
            </a:pPr>
          </a:p>
        </c:txPr>
        <c:crossAx val="1293700840"/>
      </c:catAx>
      <c:valAx>
        <c:axId val="1293700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Courier New"/>
              </a:defRPr>
            </a:pPr>
          </a:p>
        </c:txPr>
        <c:crossAx val="1421439145"/>
      </c:valAx>
    </c:plotArea>
    <c:legend>
      <c:legendPos val="r"/>
      <c:overlay val="0"/>
      <c:txPr>
        <a:bodyPr/>
        <a:lstStyle/>
        <a:p>
          <a:pPr lvl="0">
            <a:defRPr b="0" i="1">
              <a:solidFill>
                <a:srgbClr val="000000"/>
              </a:solidFill>
              <a:latin typeface="Georgia"/>
            </a:defRPr>
          </a:pPr>
        </a:p>
      </c:txPr>
    </c:legend>
    <c:plotVisOnly val="1"/>
  </c:chart>
  <c:spPr>
    <a:solidFill>
      <a:srgbClr val="D0E0E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rgbClr val="000000"/>
                </a:solidFill>
                <a:latin typeface="serif"/>
              </a:defRPr>
            </a:pPr>
            <a:r>
              <a:rPr b="1" i="1" sz="1800">
                <a:solidFill>
                  <a:srgbClr val="000000"/>
                </a:solidFill>
                <a:latin typeface="serif"/>
              </a:rPr>
              <a:t>Operational Stability: Sales vs. Break-even Point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'Break-even analysis'!$B$3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'Break-even analysis'!$A$4:$A$8</c:f>
            </c:strRef>
          </c:cat>
          <c:val>
            <c:numRef>
              <c:f>'Break-even analysis'!$B$4:$B$8</c:f>
              <c:numCache/>
            </c:numRef>
          </c:val>
        </c:ser>
        <c:ser>
          <c:idx val="1"/>
          <c:order val="1"/>
          <c:tx>
            <c:strRef>
              <c:f>'Break-even analysis'!$G$3</c:f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'Break-even analysis'!$A$4:$A$8</c:f>
            </c:strRef>
          </c:cat>
          <c:val>
            <c:numRef>
              <c:f>'Break-even analysis'!$G$4:$G$8</c:f>
              <c:numCache/>
            </c:numRef>
          </c:val>
        </c:ser>
        <c:axId val="1245443017"/>
        <c:axId val="1345589149"/>
      </c:barChart>
      <c:catAx>
        <c:axId val="1245443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i="1">
                <a:solidFill>
                  <a:srgbClr val="000000"/>
                </a:solidFill>
                <a:latin typeface="Comic Sans MS"/>
              </a:defRPr>
            </a:pPr>
          </a:p>
        </c:txPr>
        <c:crossAx val="1345589149"/>
      </c:catAx>
      <c:valAx>
        <c:axId val="1345589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1">
                <a:solidFill>
                  <a:srgbClr val="4C1130"/>
                </a:solidFill>
                <a:latin typeface="Comic Sans MS"/>
              </a:defRPr>
            </a:pPr>
          </a:p>
        </c:txPr>
        <c:crossAx val="1245443017"/>
      </c:valAx>
    </c:plotArea>
    <c:legend>
      <c:legendPos val="r"/>
      <c:overlay val="0"/>
      <c:txPr>
        <a:bodyPr/>
        <a:lstStyle/>
        <a:p>
          <a:pPr lvl="0">
            <a:defRPr b="0" i="1" sz="1400">
              <a:solidFill>
                <a:srgbClr val="000000"/>
              </a:solidFill>
              <a:latin typeface="Arial Narrow"/>
            </a:defRPr>
          </a:pPr>
        </a:p>
      </c:txPr>
    </c:legend>
    <c:plotVisOnly val="1"/>
  </c:chart>
  <c:spPr>
    <a:solidFill>
      <a:srgbClr val="EAD1DC"/>
    </a:solidFill>
  </c:spPr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2</xdr:row>
      <xdr:rowOff>9525</xdr:rowOff>
    </xdr:from>
    <xdr:ext cx="6210300" cy="2790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16</xdr:row>
      <xdr:rowOff>104775</xdr:rowOff>
    </xdr:from>
    <xdr:ext cx="3962400" cy="2590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885825</xdr:colOff>
      <xdr:row>0</xdr:row>
      <xdr:rowOff>0</xdr:rowOff>
    </xdr:from>
    <xdr:ext cx="5038725" cy="30194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8</xdr:row>
      <xdr:rowOff>104775</xdr:rowOff>
    </xdr:from>
    <xdr:ext cx="7115175" cy="2438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771525</xdr:colOff>
      <xdr:row>8</xdr:row>
      <xdr:rowOff>180975</xdr:rowOff>
    </xdr:from>
    <xdr:ext cx="3724275" cy="2305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8</xdr:row>
      <xdr:rowOff>180975</xdr:rowOff>
    </xdr:from>
    <xdr:ext cx="3724275" cy="23050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0"/>
    <col customWidth="1" min="2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/>
    </row>
    <row r="4" ht="15.75" customHeight="1">
      <c r="A4" s="3" t="s">
        <v>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25"/>
    <col customWidth="1" min="2" max="2" width="32.5"/>
    <col customWidth="1" min="3" max="3" width="17.75"/>
    <col customWidth="1" min="4" max="4" width="22.0"/>
    <col customWidth="1" min="5" max="5" width="19.38"/>
    <col customWidth="1" min="6" max="6" width="12.63"/>
    <col customWidth="1" min="7" max="7" width="24.75"/>
    <col customWidth="1" min="8" max="8" width="44.25"/>
    <col customWidth="1" min="9" max="9" width="24.25"/>
    <col customWidth="1" min="10" max="11" width="19.88"/>
    <col customWidth="1" min="13" max="13" width="27.5"/>
    <col customWidth="1" min="14" max="14" width="15.38"/>
    <col customWidth="1" min="15" max="15" width="43.5"/>
    <col customWidth="1" min="16" max="16" width="21.13"/>
    <col customWidth="1" min="17" max="17" width="25.75"/>
    <col customWidth="1" min="19" max="19" width="19.5"/>
  </cols>
  <sheetData>
    <row r="1" ht="15.75" customHeight="1">
      <c r="A1" s="4" t="s">
        <v>3</v>
      </c>
      <c r="B1" s="5">
        <v>2026.0</v>
      </c>
      <c r="C1" s="3"/>
      <c r="D1" s="3"/>
      <c r="E1" s="3"/>
      <c r="F1" s="3"/>
      <c r="G1" s="3"/>
      <c r="H1" s="3"/>
    </row>
    <row r="2" ht="15.75" customHeight="1">
      <c r="A2" s="3"/>
      <c r="B2" s="3"/>
      <c r="C2" s="3"/>
      <c r="D2" s="6">
        <v>2026.0</v>
      </c>
      <c r="E2" s="6">
        <v>2027.0</v>
      </c>
      <c r="F2" s="6">
        <v>2028.0</v>
      </c>
      <c r="G2" s="6">
        <v>2029.0</v>
      </c>
      <c r="H2" s="6">
        <v>2030.0</v>
      </c>
    </row>
    <row r="3" ht="15.75" customHeight="1">
      <c r="A3" s="3"/>
      <c r="B3" s="3"/>
      <c r="C3" s="3"/>
      <c r="D3" s="3"/>
      <c r="E3" s="3"/>
      <c r="F3" s="3"/>
      <c r="G3" s="3"/>
      <c r="H3" s="3"/>
    </row>
    <row r="4" ht="15.75" customHeight="1">
      <c r="A4" s="7" t="s">
        <v>4</v>
      </c>
      <c r="B4" s="3"/>
      <c r="C4" s="3"/>
      <c r="D4" s="3"/>
      <c r="E4" s="3"/>
      <c r="F4" s="3"/>
      <c r="G4" s="3"/>
      <c r="H4" s="3"/>
    </row>
    <row r="5" ht="15.75" customHeight="1">
      <c r="A5" s="4" t="s">
        <v>5</v>
      </c>
      <c r="B5" s="3"/>
      <c r="C5" s="3"/>
      <c r="D5" s="8">
        <v>0.1</v>
      </c>
      <c r="E5" s="8">
        <v>0.09</v>
      </c>
      <c r="F5" s="8">
        <v>0.08</v>
      </c>
      <c r="G5" s="8">
        <v>0.07</v>
      </c>
      <c r="H5" s="8">
        <v>0.065</v>
      </c>
    </row>
    <row r="6" ht="15.75" customHeight="1">
      <c r="A6" s="4" t="s">
        <v>6</v>
      </c>
      <c r="B6" s="3"/>
      <c r="C6" s="3"/>
      <c r="D6" s="8">
        <v>0.03</v>
      </c>
      <c r="E6" s="8">
        <v>0.028</v>
      </c>
      <c r="F6" s="8">
        <v>0.026</v>
      </c>
      <c r="G6" s="8">
        <v>0.025</v>
      </c>
      <c r="H6" s="8">
        <v>0.025</v>
      </c>
    </row>
    <row r="7" ht="15.75" customHeight="1">
      <c r="A7" s="4" t="s">
        <v>7</v>
      </c>
      <c r="B7" s="3"/>
      <c r="C7" s="3"/>
      <c r="D7" s="9">
        <v>285.0</v>
      </c>
      <c r="E7" s="9">
        <v>295.0</v>
      </c>
      <c r="F7" s="9">
        <v>305.0</v>
      </c>
      <c r="G7" s="9">
        <v>315.0</v>
      </c>
      <c r="H7" s="9">
        <v>325.0</v>
      </c>
    </row>
    <row r="8" ht="15.75" customHeight="1">
      <c r="A8" s="4" t="s">
        <v>8</v>
      </c>
      <c r="B8" s="3"/>
      <c r="C8" s="3"/>
      <c r="D8" s="8">
        <v>0.13</v>
      </c>
      <c r="E8" s="8">
        <v>0.125</v>
      </c>
      <c r="F8" s="8">
        <v>0.12</v>
      </c>
      <c r="G8" s="8">
        <v>0.115</v>
      </c>
      <c r="H8" s="8">
        <v>0.11</v>
      </c>
    </row>
    <row r="9" ht="15.75" customHeight="1">
      <c r="A9" s="3" t="s">
        <v>9</v>
      </c>
      <c r="B9" s="10">
        <v>0.06</v>
      </c>
      <c r="C9" s="3"/>
      <c r="D9" s="3"/>
      <c r="E9" s="3"/>
      <c r="F9" s="3"/>
      <c r="G9" s="3"/>
      <c r="H9" s="3"/>
    </row>
    <row r="10" ht="15.75" customHeight="1">
      <c r="A10" s="7" t="s">
        <v>10</v>
      </c>
      <c r="B10" s="3"/>
      <c r="C10" s="3"/>
      <c r="D10" s="3"/>
      <c r="E10" s="3"/>
    </row>
    <row r="11" ht="15.75" customHeight="1">
      <c r="A11" s="11"/>
      <c r="B11" s="12" t="s">
        <v>11</v>
      </c>
      <c r="C11" s="13" t="s">
        <v>12</v>
      </c>
      <c r="D11" s="13" t="s">
        <v>13</v>
      </c>
      <c r="E11" s="13" t="s">
        <v>14</v>
      </c>
      <c r="G11" s="11"/>
      <c r="H11" s="12" t="s">
        <v>15</v>
      </c>
      <c r="I11" s="14" t="str">
        <f t="shared" ref="I11:K11" si="1">C11</f>
        <v>1st Yr Sales Volume</v>
      </c>
      <c r="J11" s="14" t="str">
        <f t="shared" si="1"/>
        <v>1st Yr Sales Price (PKR)</v>
      </c>
      <c r="K11" s="14" t="str">
        <f t="shared" si="1"/>
        <v>1st Yr Sales Price (USD)</v>
      </c>
      <c r="M11" s="11"/>
      <c r="N11" s="14" t="s">
        <v>16</v>
      </c>
      <c r="O11" s="14" t="str">
        <f t="shared" ref="O11:Q11" si="2">I11</f>
        <v>1st Yr Sales Volume</v>
      </c>
      <c r="P11" s="14" t="str">
        <f t="shared" si="2"/>
        <v>1st Yr Sales Price (PKR)</v>
      </c>
      <c r="Q11" s="14" t="str">
        <f t="shared" si="2"/>
        <v>1st Yr Sales Price (USD)</v>
      </c>
    </row>
    <row r="12" ht="15.75" customHeight="1">
      <c r="A12" s="15" t="s">
        <v>17</v>
      </c>
      <c r="B12" s="16" t="s">
        <v>18</v>
      </c>
      <c r="C12" s="17">
        <v>25000.0</v>
      </c>
      <c r="D12" s="17">
        <v>16953.0</v>
      </c>
      <c r="E12" s="18">
        <f t="shared" ref="E12:E17" si="3">D12/$D$7</f>
        <v>59.48421053</v>
      </c>
      <c r="G12" s="19" t="str">
        <f t="shared" ref="G12:G17" si="4">A12</f>
        <v>Royal Matt Emulsion paint</v>
      </c>
      <c r="H12" s="20" t="s">
        <v>19</v>
      </c>
      <c r="I12" s="21">
        <v>30000.0</v>
      </c>
      <c r="J12" s="21">
        <v>4392.0</v>
      </c>
      <c r="K12" s="22">
        <f t="shared" ref="K12:K17" si="5">J12/$D$7</f>
        <v>15.41052632</v>
      </c>
      <c r="M12" s="23" t="str">
        <f t="shared" ref="M12:M17" si="6">G12</f>
        <v>Royal Matt Emulsion paint</v>
      </c>
      <c r="N12" s="21" t="s">
        <v>20</v>
      </c>
      <c r="O12" s="21">
        <v>15000.0</v>
      </c>
      <c r="P12" s="21">
        <v>1141.0</v>
      </c>
      <c r="Q12" s="22">
        <f t="shared" ref="Q12:Q17" si="7">P12/$D$7</f>
        <v>4.003508772</v>
      </c>
    </row>
    <row r="13" ht="15.75" customHeight="1">
      <c r="A13" s="15" t="s">
        <v>21</v>
      </c>
      <c r="B13" s="16" t="s">
        <v>18</v>
      </c>
      <c r="C13" s="24">
        <v>18000.0</v>
      </c>
      <c r="D13" s="25">
        <v>27840.0</v>
      </c>
      <c r="E13" s="18">
        <f t="shared" si="3"/>
        <v>97.68421053</v>
      </c>
      <c r="G13" s="19" t="str">
        <f t="shared" si="4"/>
        <v>Anti-bacterial Interior paint</v>
      </c>
      <c r="H13" s="20" t="s">
        <v>19</v>
      </c>
      <c r="I13" s="21">
        <v>23000.0</v>
      </c>
      <c r="J13" s="21">
        <v>6960.0</v>
      </c>
      <c r="K13" s="22">
        <f t="shared" si="5"/>
        <v>24.42105263</v>
      </c>
      <c r="M13" s="23" t="str">
        <f t="shared" si="6"/>
        <v>Anti-bacterial Interior paint</v>
      </c>
      <c r="N13" s="21" t="s">
        <v>20</v>
      </c>
      <c r="O13" s="21">
        <v>13000.0</v>
      </c>
      <c r="P13" s="21">
        <v>1740.0</v>
      </c>
      <c r="Q13" s="22">
        <f t="shared" si="7"/>
        <v>6.105263158</v>
      </c>
    </row>
    <row r="14" ht="15.75" customHeight="1">
      <c r="A14" s="15" t="s">
        <v>22</v>
      </c>
      <c r="B14" s="16" t="s">
        <v>18</v>
      </c>
      <c r="C14" s="24">
        <v>23000.0</v>
      </c>
      <c r="D14" s="25">
        <v>18445.0</v>
      </c>
      <c r="E14" s="18">
        <f t="shared" si="3"/>
        <v>64.71929825</v>
      </c>
      <c r="G14" s="19" t="str">
        <f t="shared" si="4"/>
        <v>Silk emulsion</v>
      </c>
      <c r="H14" s="20" t="s">
        <v>19</v>
      </c>
      <c r="I14" s="21">
        <v>27000.0</v>
      </c>
      <c r="J14" s="21">
        <v>4785.0</v>
      </c>
      <c r="K14" s="22">
        <f t="shared" si="5"/>
        <v>16.78947368</v>
      </c>
      <c r="M14" s="23" t="str">
        <f t="shared" si="6"/>
        <v>Silk emulsion</v>
      </c>
      <c r="N14" s="21" t="s">
        <v>20</v>
      </c>
      <c r="O14" s="21">
        <v>17000.0</v>
      </c>
      <c r="P14" s="21">
        <v>1196.0</v>
      </c>
      <c r="Q14" s="22">
        <f t="shared" si="7"/>
        <v>4.196491228</v>
      </c>
    </row>
    <row r="15" ht="15.75" customHeight="1">
      <c r="A15" s="15" t="s">
        <v>23</v>
      </c>
      <c r="B15" s="16" t="s">
        <v>18</v>
      </c>
      <c r="C15" s="24">
        <v>30000.0</v>
      </c>
      <c r="D15" s="25">
        <v>13168.0</v>
      </c>
      <c r="E15" s="18">
        <f t="shared" si="3"/>
        <v>46.20350877</v>
      </c>
      <c r="G15" s="19" t="str">
        <f t="shared" si="4"/>
        <v>Weather resistent exterior paint</v>
      </c>
      <c r="H15" s="20" t="s">
        <v>19</v>
      </c>
      <c r="I15" s="21">
        <v>35000.0</v>
      </c>
      <c r="J15" s="21">
        <v>3430.0</v>
      </c>
      <c r="K15" s="22">
        <f t="shared" si="5"/>
        <v>12.03508772</v>
      </c>
      <c r="M15" s="23" t="str">
        <f t="shared" si="6"/>
        <v>Weather resistent exterior paint</v>
      </c>
      <c r="N15" s="21" t="s">
        <v>20</v>
      </c>
      <c r="O15" s="21">
        <v>25000.0</v>
      </c>
      <c r="P15" s="21">
        <v>930.0</v>
      </c>
      <c r="Q15" s="22">
        <f t="shared" si="7"/>
        <v>3.263157895</v>
      </c>
    </row>
    <row r="16" ht="15.75" customHeight="1">
      <c r="A16" s="15" t="s">
        <v>24</v>
      </c>
      <c r="B16" s="16" t="s">
        <v>18</v>
      </c>
      <c r="C16" s="24">
        <v>35000.0</v>
      </c>
      <c r="D16" s="25">
        <v>5165.0</v>
      </c>
      <c r="E16" s="18">
        <f t="shared" si="3"/>
        <v>18.12280702</v>
      </c>
      <c r="G16" s="19" t="str">
        <f t="shared" si="4"/>
        <v>Super primer</v>
      </c>
      <c r="H16" s="20" t="s">
        <v>19</v>
      </c>
      <c r="I16" s="21">
        <v>40000.0</v>
      </c>
      <c r="J16" s="21">
        <v>1369.0</v>
      </c>
      <c r="K16" s="22">
        <f t="shared" si="5"/>
        <v>4.803508772</v>
      </c>
      <c r="M16" s="23" t="str">
        <f t="shared" si="6"/>
        <v>Super primer</v>
      </c>
      <c r="N16" s="21" t="s">
        <v>20</v>
      </c>
      <c r="O16" s="21">
        <v>30000.0</v>
      </c>
      <c r="P16" s="21">
        <v>342.0</v>
      </c>
      <c r="Q16" s="22">
        <f t="shared" si="7"/>
        <v>1.2</v>
      </c>
    </row>
    <row r="17" ht="15.75" customHeight="1">
      <c r="A17" s="15" t="s">
        <v>25</v>
      </c>
      <c r="B17" s="16" t="s">
        <v>26</v>
      </c>
      <c r="C17" s="24">
        <v>40000.0</v>
      </c>
      <c r="D17" s="25">
        <v>15968.0</v>
      </c>
      <c r="E17" s="18">
        <f t="shared" si="3"/>
        <v>56.02807018</v>
      </c>
      <c r="G17" s="19" t="str">
        <f t="shared" si="4"/>
        <v>Synthetic Enamel</v>
      </c>
      <c r="H17" s="20" t="s">
        <v>19</v>
      </c>
      <c r="I17" s="21">
        <v>45000.0</v>
      </c>
      <c r="J17" s="21">
        <v>3992.0</v>
      </c>
      <c r="K17" s="22">
        <f t="shared" si="5"/>
        <v>14.00701754</v>
      </c>
      <c r="M17" s="23" t="str">
        <f t="shared" si="6"/>
        <v>Synthetic Enamel</v>
      </c>
      <c r="N17" s="21" t="s">
        <v>20</v>
      </c>
      <c r="O17" s="21">
        <v>35000.0</v>
      </c>
      <c r="P17" s="21">
        <v>998.0</v>
      </c>
      <c r="Q17" s="22">
        <f t="shared" si="7"/>
        <v>3.501754386</v>
      </c>
    </row>
    <row r="18" ht="15.75" customHeight="1"/>
    <row r="19" ht="15.75" customHeight="1">
      <c r="A19" s="26" t="s">
        <v>27</v>
      </c>
      <c r="B19" s="3"/>
      <c r="C19" s="3"/>
      <c r="D19" s="3"/>
      <c r="E19" s="3"/>
      <c r="F19" s="3"/>
      <c r="G19" s="3"/>
    </row>
    <row r="20" ht="15.75" customHeight="1">
      <c r="A20" s="3"/>
      <c r="B20" s="3"/>
      <c r="C20" s="6">
        <f t="shared" ref="C20:G20" si="8">+D2</f>
        <v>2026</v>
      </c>
      <c r="D20" s="6">
        <f t="shared" si="8"/>
        <v>2027</v>
      </c>
      <c r="E20" s="6">
        <f t="shared" si="8"/>
        <v>2028</v>
      </c>
      <c r="F20" s="6">
        <f t="shared" si="8"/>
        <v>2029</v>
      </c>
      <c r="G20" s="6">
        <f t="shared" si="8"/>
        <v>2030</v>
      </c>
    </row>
    <row r="21" ht="15.75" customHeight="1">
      <c r="A21" s="4" t="s">
        <v>28</v>
      </c>
      <c r="B21" s="3"/>
      <c r="C21" s="27">
        <v>0.0</v>
      </c>
      <c r="D21" s="27">
        <v>0.9</v>
      </c>
      <c r="E21" s="27">
        <v>0.8</v>
      </c>
      <c r="F21" s="27">
        <v>0.6</v>
      </c>
      <c r="G21" s="27">
        <v>0.4</v>
      </c>
    </row>
    <row r="22" ht="15.75" customHeight="1">
      <c r="A22" s="4" t="s">
        <v>29</v>
      </c>
      <c r="B22" s="3"/>
      <c r="C22" s="27">
        <v>0.0</v>
      </c>
      <c r="D22" s="27">
        <v>0.1</v>
      </c>
      <c r="E22" s="27">
        <v>0.09</v>
      </c>
      <c r="F22" s="27">
        <v>0.08</v>
      </c>
      <c r="G22" s="27">
        <v>0.07</v>
      </c>
    </row>
    <row r="23" ht="15.75" customHeight="1">
      <c r="A23" s="4" t="s">
        <v>30</v>
      </c>
      <c r="B23" s="3"/>
      <c r="C23" s="27">
        <v>0.0</v>
      </c>
      <c r="D23" s="27">
        <v>0.03</v>
      </c>
      <c r="E23" s="27">
        <v>0.03</v>
      </c>
      <c r="F23" s="28">
        <v>0.025</v>
      </c>
      <c r="G23" s="28">
        <v>0.035</v>
      </c>
    </row>
    <row r="24" ht="15.75" customHeight="1">
      <c r="A24" s="4" t="s">
        <v>31</v>
      </c>
      <c r="B24" s="3"/>
      <c r="C24" s="27">
        <v>0.0</v>
      </c>
      <c r="D24" s="27">
        <v>0.2</v>
      </c>
      <c r="E24" s="27">
        <v>0.25</v>
      </c>
      <c r="F24" s="27">
        <v>0.25</v>
      </c>
      <c r="G24" s="27">
        <v>0.3</v>
      </c>
    </row>
    <row r="25" ht="15.75" customHeight="1">
      <c r="A25" s="3"/>
      <c r="B25" s="3"/>
      <c r="C25" s="3"/>
      <c r="D25" s="3"/>
      <c r="E25" s="3"/>
      <c r="F25" s="3"/>
      <c r="G25" s="3"/>
    </row>
    <row r="26" ht="15.75" customHeight="1">
      <c r="A26" s="7" t="s">
        <v>32</v>
      </c>
      <c r="B26" s="3"/>
      <c r="C26" s="3"/>
      <c r="D26" s="3"/>
      <c r="E26" s="3"/>
      <c r="F26" s="3"/>
      <c r="G26" s="3"/>
    </row>
    <row r="27" ht="15.75" customHeight="1">
      <c r="A27" s="4" t="s">
        <v>33</v>
      </c>
      <c r="B27" s="29"/>
      <c r="C27" s="30">
        <v>0.18</v>
      </c>
      <c r="D27" s="3"/>
      <c r="E27" s="3"/>
      <c r="F27" s="3"/>
      <c r="G27" s="3"/>
    </row>
    <row r="28" ht="15.75" customHeight="1">
      <c r="A28" s="4" t="s">
        <v>34</v>
      </c>
      <c r="B28" s="29"/>
      <c r="C28" s="30">
        <v>0.29</v>
      </c>
      <c r="D28" s="3"/>
      <c r="E28" s="3"/>
      <c r="F28" s="3"/>
      <c r="G28" s="3"/>
    </row>
    <row r="29" ht="15.75" customHeight="1"/>
    <row r="30" ht="15.75" customHeight="1">
      <c r="A30" s="31" t="s">
        <v>35</v>
      </c>
      <c r="B30" s="3"/>
      <c r="C30" s="3"/>
    </row>
    <row r="31" ht="15.75" customHeight="1">
      <c r="A31" s="3"/>
      <c r="B31" s="3"/>
      <c r="C31" s="32"/>
    </row>
    <row r="32" ht="15.75" customHeight="1">
      <c r="A32" s="33" t="s">
        <v>36</v>
      </c>
      <c r="C32" s="3"/>
    </row>
    <row r="33" ht="15.75" customHeight="1">
      <c r="A33" s="31" t="s">
        <v>37</v>
      </c>
      <c r="C33" s="3"/>
      <c r="I33" s="31" t="s">
        <v>38</v>
      </c>
      <c r="K33" s="3"/>
      <c r="Q33" s="31" t="s">
        <v>39</v>
      </c>
      <c r="S33" s="3"/>
    </row>
    <row r="34" ht="15.75" customHeight="1">
      <c r="A34" s="34" t="s">
        <v>40</v>
      </c>
      <c r="B34" s="35" t="s">
        <v>41</v>
      </c>
      <c r="C34" s="35" t="s">
        <v>42</v>
      </c>
      <c r="D34" s="36">
        <v>2027.0</v>
      </c>
      <c r="E34" s="36">
        <v>2028.0</v>
      </c>
      <c r="F34" s="36">
        <v>2029.0</v>
      </c>
      <c r="G34" s="36">
        <v>2030.0</v>
      </c>
      <c r="I34" s="34" t="s">
        <v>40</v>
      </c>
      <c r="J34" s="35" t="s">
        <v>41</v>
      </c>
      <c r="K34" s="35" t="s">
        <v>43</v>
      </c>
      <c r="L34" s="36">
        <v>2027.0</v>
      </c>
      <c r="M34" s="36">
        <v>2028.0</v>
      </c>
      <c r="N34" s="36">
        <v>2029.0</v>
      </c>
      <c r="O34" s="36">
        <v>2030.0</v>
      </c>
      <c r="Q34" s="34" t="s">
        <v>40</v>
      </c>
      <c r="R34" s="35" t="s">
        <v>41</v>
      </c>
      <c r="S34" s="35" t="s">
        <v>44</v>
      </c>
      <c r="T34" s="36">
        <v>2027.0</v>
      </c>
      <c r="U34" s="36">
        <v>2028.0</v>
      </c>
      <c r="V34" s="36">
        <v>2029.0</v>
      </c>
      <c r="W34" s="36">
        <v>2030.0</v>
      </c>
    </row>
    <row r="35" ht="15.75" customHeight="1">
      <c r="A35" s="4" t="s">
        <v>45</v>
      </c>
      <c r="B35" s="37">
        <v>7.2</v>
      </c>
      <c r="C35" s="38">
        <v>288.0</v>
      </c>
      <c r="D35" s="39">
        <f t="shared" ref="D35:G35" si="9">C35*(1+E$5)</f>
        <v>313.92</v>
      </c>
      <c r="E35" s="39">
        <f t="shared" si="9"/>
        <v>339.0336</v>
      </c>
      <c r="F35" s="39">
        <f t="shared" si="9"/>
        <v>362.765952</v>
      </c>
      <c r="G35" s="39">
        <f t="shared" si="9"/>
        <v>386.3457389</v>
      </c>
      <c r="I35" s="4" t="s">
        <v>45</v>
      </c>
      <c r="J35" s="40">
        <f t="shared" ref="J35:J40" si="13">$B35/4</f>
        <v>1.8</v>
      </c>
      <c r="K35" s="41">
        <f t="shared" ref="K35:O35" si="10">C35/4</f>
        <v>72</v>
      </c>
      <c r="L35" s="41">
        <f t="shared" si="10"/>
        <v>78.48</v>
      </c>
      <c r="M35" s="41">
        <f t="shared" si="10"/>
        <v>84.7584</v>
      </c>
      <c r="N35" s="41">
        <f t="shared" si="10"/>
        <v>90.691488</v>
      </c>
      <c r="O35" s="41">
        <f t="shared" si="10"/>
        <v>96.58643472</v>
      </c>
      <c r="Q35" s="4" t="s">
        <v>45</v>
      </c>
      <c r="R35" s="40">
        <f t="shared" ref="R35:W35" si="11">B35/16</f>
        <v>0.45</v>
      </c>
      <c r="S35" s="42">
        <f t="shared" si="11"/>
        <v>18</v>
      </c>
      <c r="T35" s="42">
        <f t="shared" si="11"/>
        <v>19.62</v>
      </c>
      <c r="U35" s="42">
        <f t="shared" si="11"/>
        <v>21.1896</v>
      </c>
      <c r="V35" s="42">
        <f t="shared" si="11"/>
        <v>22.672872</v>
      </c>
      <c r="W35" s="42">
        <f t="shared" si="11"/>
        <v>24.14660868</v>
      </c>
    </row>
    <row r="36" ht="15.75" customHeight="1">
      <c r="A36" s="4" t="s">
        <v>46</v>
      </c>
      <c r="B36" s="37">
        <v>4.8</v>
      </c>
      <c r="C36" s="38">
        <v>168.0</v>
      </c>
      <c r="D36" s="39">
        <f t="shared" ref="D36:G36" si="12">C36*(1+E$5)</f>
        <v>183.12</v>
      </c>
      <c r="E36" s="39">
        <f t="shared" si="12"/>
        <v>197.7696</v>
      </c>
      <c r="F36" s="39">
        <f t="shared" si="12"/>
        <v>211.613472</v>
      </c>
      <c r="G36" s="39">
        <f t="shared" si="12"/>
        <v>225.3683477</v>
      </c>
      <c r="I36" s="4" t="s">
        <v>46</v>
      </c>
      <c r="J36" s="40">
        <f t="shared" si="13"/>
        <v>1.2</v>
      </c>
      <c r="K36" s="41">
        <f t="shared" ref="K36:O36" si="14">C36/4</f>
        <v>42</v>
      </c>
      <c r="L36" s="41">
        <f t="shared" si="14"/>
        <v>45.78</v>
      </c>
      <c r="M36" s="41">
        <f t="shared" si="14"/>
        <v>49.4424</v>
      </c>
      <c r="N36" s="41">
        <f t="shared" si="14"/>
        <v>52.903368</v>
      </c>
      <c r="O36" s="41">
        <f t="shared" si="14"/>
        <v>56.34208692</v>
      </c>
      <c r="Q36" s="4" t="s">
        <v>46</v>
      </c>
      <c r="R36" s="40">
        <f t="shared" ref="R36:W36" si="15">B36/16</f>
        <v>0.3</v>
      </c>
      <c r="S36" s="42">
        <f t="shared" si="15"/>
        <v>10.5</v>
      </c>
      <c r="T36" s="42">
        <f t="shared" si="15"/>
        <v>11.445</v>
      </c>
      <c r="U36" s="42">
        <f t="shared" si="15"/>
        <v>12.3606</v>
      </c>
      <c r="V36" s="42">
        <f t="shared" si="15"/>
        <v>13.225842</v>
      </c>
      <c r="W36" s="42">
        <f t="shared" si="15"/>
        <v>14.08552173</v>
      </c>
    </row>
    <row r="37" ht="15.75" customHeight="1">
      <c r="A37" s="4" t="s">
        <v>47</v>
      </c>
      <c r="B37" s="37">
        <v>1.9</v>
      </c>
      <c r="C37" s="38">
        <v>2280.0</v>
      </c>
      <c r="D37" s="39">
        <f t="shared" ref="D37:G37" si="16">C37*(1+E$6+$B$9)</f>
        <v>2480.64</v>
      </c>
      <c r="E37" s="39">
        <f t="shared" si="16"/>
        <v>2693.97504</v>
      </c>
      <c r="F37" s="39">
        <f t="shared" si="16"/>
        <v>2922.962918</v>
      </c>
      <c r="G37" s="39">
        <f t="shared" si="16"/>
        <v>3171.414766</v>
      </c>
      <c r="I37" s="4" t="s">
        <v>47</v>
      </c>
      <c r="J37" s="40">
        <f t="shared" si="13"/>
        <v>0.475</v>
      </c>
      <c r="K37" s="41">
        <f t="shared" ref="K37:O37" si="17">C37/4</f>
        <v>570</v>
      </c>
      <c r="L37" s="41">
        <f t="shared" si="17"/>
        <v>620.16</v>
      </c>
      <c r="M37" s="41">
        <f t="shared" si="17"/>
        <v>673.49376</v>
      </c>
      <c r="N37" s="41">
        <f t="shared" si="17"/>
        <v>730.7407296</v>
      </c>
      <c r="O37" s="41">
        <f t="shared" si="17"/>
        <v>792.8536916</v>
      </c>
      <c r="Q37" s="4" t="s">
        <v>47</v>
      </c>
      <c r="R37" s="40">
        <f t="shared" ref="R37:W37" si="18">B37/16</f>
        <v>0.11875</v>
      </c>
      <c r="S37" s="42">
        <f t="shared" si="18"/>
        <v>142.5</v>
      </c>
      <c r="T37" s="42">
        <f t="shared" si="18"/>
        <v>155.04</v>
      </c>
      <c r="U37" s="42">
        <f t="shared" si="18"/>
        <v>168.37344</v>
      </c>
      <c r="V37" s="42">
        <f t="shared" si="18"/>
        <v>182.6851824</v>
      </c>
      <c r="W37" s="42">
        <f t="shared" si="18"/>
        <v>198.2134229</v>
      </c>
    </row>
    <row r="38" ht="15.75" customHeight="1">
      <c r="A38" s="4" t="s">
        <v>48</v>
      </c>
      <c r="B38" s="37">
        <v>1.4</v>
      </c>
      <c r="C38" s="38">
        <v>910.0</v>
      </c>
      <c r="D38" s="39">
        <f t="shared" ref="D38:G38" si="19">C38*(1+E$5)</f>
        <v>991.9</v>
      </c>
      <c r="E38" s="39">
        <f t="shared" si="19"/>
        <v>1071.252</v>
      </c>
      <c r="F38" s="39">
        <f t="shared" si="19"/>
        <v>1146.23964</v>
      </c>
      <c r="G38" s="39">
        <f t="shared" si="19"/>
        <v>1220.745217</v>
      </c>
      <c r="I38" s="4" t="s">
        <v>48</v>
      </c>
      <c r="J38" s="40">
        <f t="shared" si="13"/>
        <v>0.35</v>
      </c>
      <c r="K38" s="41">
        <f t="shared" ref="K38:O38" si="20">C38/4</f>
        <v>227.5</v>
      </c>
      <c r="L38" s="41">
        <f t="shared" si="20"/>
        <v>247.975</v>
      </c>
      <c r="M38" s="41">
        <f t="shared" si="20"/>
        <v>267.813</v>
      </c>
      <c r="N38" s="41">
        <f t="shared" si="20"/>
        <v>286.55991</v>
      </c>
      <c r="O38" s="41">
        <f t="shared" si="20"/>
        <v>305.1863042</v>
      </c>
      <c r="Q38" s="4" t="s">
        <v>48</v>
      </c>
      <c r="R38" s="40">
        <f t="shared" ref="R38:W38" si="21">B38/16</f>
        <v>0.0875</v>
      </c>
      <c r="S38" s="42">
        <f t="shared" si="21"/>
        <v>56.875</v>
      </c>
      <c r="T38" s="42">
        <f t="shared" si="21"/>
        <v>61.99375</v>
      </c>
      <c r="U38" s="42">
        <f t="shared" si="21"/>
        <v>66.95325</v>
      </c>
      <c r="V38" s="42">
        <f t="shared" si="21"/>
        <v>71.6399775</v>
      </c>
      <c r="W38" s="42">
        <f t="shared" si="21"/>
        <v>76.29657604</v>
      </c>
    </row>
    <row r="39" ht="15.75" customHeight="1">
      <c r="A39" s="4" t="s">
        <v>49</v>
      </c>
      <c r="B39" s="37">
        <v>0.15</v>
      </c>
      <c r="C39" s="38">
        <v>150.0</v>
      </c>
      <c r="D39" s="39">
        <f t="shared" ref="D39:G39" si="22">C39*(1+E$5)</f>
        <v>163.5</v>
      </c>
      <c r="E39" s="39">
        <f t="shared" si="22"/>
        <v>176.58</v>
      </c>
      <c r="F39" s="39">
        <f t="shared" si="22"/>
        <v>188.9406</v>
      </c>
      <c r="G39" s="39">
        <f t="shared" si="22"/>
        <v>201.221739</v>
      </c>
      <c r="I39" s="4" t="s">
        <v>49</v>
      </c>
      <c r="J39" s="40">
        <f t="shared" si="13"/>
        <v>0.0375</v>
      </c>
      <c r="K39" s="41">
        <f t="shared" ref="K39:O39" si="23">C39/4</f>
        <v>37.5</v>
      </c>
      <c r="L39" s="41">
        <f t="shared" si="23"/>
        <v>40.875</v>
      </c>
      <c r="M39" s="41">
        <f t="shared" si="23"/>
        <v>44.145</v>
      </c>
      <c r="N39" s="41">
        <f t="shared" si="23"/>
        <v>47.23515</v>
      </c>
      <c r="O39" s="41">
        <f t="shared" si="23"/>
        <v>50.30543475</v>
      </c>
      <c r="Q39" s="4" t="s">
        <v>49</v>
      </c>
      <c r="R39" s="40">
        <f t="shared" ref="R39:W39" si="24">B39/16</f>
        <v>0.009375</v>
      </c>
      <c r="S39" s="42">
        <f t="shared" si="24"/>
        <v>9.375</v>
      </c>
      <c r="T39" s="42">
        <f t="shared" si="24"/>
        <v>10.21875</v>
      </c>
      <c r="U39" s="42">
        <f t="shared" si="24"/>
        <v>11.03625</v>
      </c>
      <c r="V39" s="42">
        <f t="shared" si="24"/>
        <v>11.8087875</v>
      </c>
      <c r="W39" s="42">
        <f t="shared" si="24"/>
        <v>12.57635869</v>
      </c>
    </row>
    <row r="40" ht="15.75" customHeight="1">
      <c r="A40" s="4" t="s">
        <v>50</v>
      </c>
      <c r="B40" s="37">
        <v>0.08</v>
      </c>
      <c r="C40" s="38">
        <v>80.0</v>
      </c>
      <c r="D40" s="39">
        <f t="shared" ref="D40:G40" si="25">C40*(1+E$6+$B$9)</f>
        <v>87.04</v>
      </c>
      <c r="E40" s="39">
        <f t="shared" si="25"/>
        <v>94.52544</v>
      </c>
      <c r="F40" s="39">
        <f t="shared" si="25"/>
        <v>102.5601024</v>
      </c>
      <c r="G40" s="39">
        <f t="shared" si="25"/>
        <v>111.2777111</v>
      </c>
      <c r="I40" s="4" t="s">
        <v>50</v>
      </c>
      <c r="J40" s="40">
        <f t="shared" si="13"/>
        <v>0.02</v>
      </c>
      <c r="K40" s="41">
        <f t="shared" ref="K40:O40" si="26">C40/4</f>
        <v>20</v>
      </c>
      <c r="L40" s="41">
        <f t="shared" si="26"/>
        <v>21.76</v>
      </c>
      <c r="M40" s="41">
        <f t="shared" si="26"/>
        <v>23.63136</v>
      </c>
      <c r="N40" s="41">
        <f t="shared" si="26"/>
        <v>25.6400256</v>
      </c>
      <c r="O40" s="41">
        <f t="shared" si="26"/>
        <v>27.81942778</v>
      </c>
      <c r="Q40" s="4" t="s">
        <v>50</v>
      </c>
      <c r="R40" s="40">
        <f t="shared" ref="R40:W40" si="27">B40/16</f>
        <v>0.005</v>
      </c>
      <c r="S40" s="42">
        <f t="shared" si="27"/>
        <v>5</v>
      </c>
      <c r="T40" s="42">
        <f t="shared" si="27"/>
        <v>5.44</v>
      </c>
      <c r="U40" s="42">
        <f t="shared" si="27"/>
        <v>5.90784</v>
      </c>
      <c r="V40" s="42">
        <f t="shared" si="27"/>
        <v>6.4100064</v>
      </c>
      <c r="W40" s="42">
        <f t="shared" si="27"/>
        <v>6.954856944</v>
      </c>
    </row>
    <row r="41" ht="15.75" customHeight="1">
      <c r="A41" s="43" t="s">
        <v>51</v>
      </c>
      <c r="C41" s="44">
        <f t="shared" ref="C41:G41" si="28">SUM(C35:C40)</f>
        <v>3876</v>
      </c>
      <c r="D41" s="45">
        <f t="shared" si="28"/>
        <v>4220.12</v>
      </c>
      <c r="E41" s="45">
        <f t="shared" si="28"/>
        <v>4573.13568</v>
      </c>
      <c r="F41" s="45">
        <f t="shared" si="28"/>
        <v>4935.082685</v>
      </c>
      <c r="G41" s="45">
        <f t="shared" si="28"/>
        <v>5316.37352</v>
      </c>
      <c r="I41" s="43" t="s">
        <v>51</v>
      </c>
      <c r="J41" s="46"/>
      <c r="K41" s="47">
        <f t="shared" ref="K41:O41" si="29">C41/4</f>
        <v>969</v>
      </c>
      <c r="L41" s="47">
        <f t="shared" si="29"/>
        <v>1055.03</v>
      </c>
      <c r="M41" s="47">
        <f t="shared" si="29"/>
        <v>1143.28392</v>
      </c>
      <c r="N41" s="47">
        <f t="shared" si="29"/>
        <v>1233.770671</v>
      </c>
      <c r="O41" s="47">
        <f t="shared" si="29"/>
        <v>1329.09338</v>
      </c>
      <c r="Q41" s="43" t="s">
        <v>51</v>
      </c>
      <c r="R41" s="46"/>
      <c r="S41" s="47">
        <f t="shared" ref="S41:W41" si="30">SUM(S35:S40)</f>
        <v>242.25</v>
      </c>
      <c r="T41" s="47">
        <f t="shared" si="30"/>
        <v>263.7575</v>
      </c>
      <c r="U41" s="47">
        <f t="shared" si="30"/>
        <v>285.82098</v>
      </c>
      <c r="V41" s="47">
        <f t="shared" si="30"/>
        <v>308.4426678</v>
      </c>
      <c r="W41" s="47">
        <f t="shared" si="30"/>
        <v>332.273345</v>
      </c>
    </row>
    <row r="42" ht="15.75" customHeight="1"/>
    <row r="43" ht="15.75" customHeight="1">
      <c r="A43" s="43" t="s">
        <v>52</v>
      </c>
      <c r="B43" s="48" t="str">
        <f t="shared" ref="B43:G43" si="31">B34</f>
        <v>units</v>
      </c>
      <c r="C43" s="43" t="str">
        <f t="shared" si="31"/>
        <v>2026 PKR per drummi </v>
      </c>
      <c r="D43" s="36">
        <f t="shared" si="31"/>
        <v>2027</v>
      </c>
      <c r="E43" s="36">
        <f t="shared" si="31"/>
        <v>2028</v>
      </c>
      <c r="F43" s="36">
        <f t="shared" si="31"/>
        <v>2029</v>
      </c>
      <c r="G43" s="36">
        <f t="shared" si="31"/>
        <v>2030</v>
      </c>
      <c r="I43" s="43" t="s">
        <v>52</v>
      </c>
      <c r="J43" s="49" t="str">
        <f t="shared" ref="J43:O43" si="32">J34</f>
        <v>units</v>
      </c>
      <c r="K43" s="43" t="str">
        <f t="shared" si="32"/>
        <v>2026 PKR per gallon</v>
      </c>
      <c r="L43" s="36">
        <f t="shared" si="32"/>
        <v>2027</v>
      </c>
      <c r="M43" s="36">
        <f t="shared" si="32"/>
        <v>2028</v>
      </c>
      <c r="N43" s="36">
        <f t="shared" si="32"/>
        <v>2029</v>
      </c>
      <c r="O43" s="36">
        <f t="shared" si="32"/>
        <v>2030</v>
      </c>
      <c r="Q43" s="43" t="s">
        <v>52</v>
      </c>
      <c r="R43" s="49" t="str">
        <f t="shared" ref="R43:W43" si="33">R34</f>
        <v>units</v>
      </c>
      <c r="S43" s="43" t="str">
        <f t="shared" si="33"/>
        <v>2026 PKR per Litre</v>
      </c>
      <c r="T43" s="36">
        <f t="shared" si="33"/>
        <v>2027</v>
      </c>
      <c r="U43" s="36">
        <f t="shared" si="33"/>
        <v>2028</v>
      </c>
      <c r="V43" s="36">
        <f t="shared" si="33"/>
        <v>2029</v>
      </c>
      <c r="W43" s="36">
        <f t="shared" si="33"/>
        <v>2030</v>
      </c>
    </row>
    <row r="44" ht="15.75" customHeight="1">
      <c r="A44" s="4" t="s">
        <v>45</v>
      </c>
      <c r="B44" s="37">
        <v>6.7</v>
      </c>
      <c r="C44" s="50">
        <v>268.0</v>
      </c>
      <c r="D44" s="51">
        <f t="shared" ref="D44:G44" si="34">C44*(1+E$5)</f>
        <v>292.12</v>
      </c>
      <c r="E44" s="51">
        <f t="shared" si="34"/>
        <v>315.4896</v>
      </c>
      <c r="F44" s="51">
        <f t="shared" si="34"/>
        <v>337.573872</v>
      </c>
      <c r="G44" s="51">
        <f t="shared" si="34"/>
        <v>359.5161737</v>
      </c>
      <c r="I44" s="4" t="s">
        <v>45</v>
      </c>
      <c r="J44" s="37">
        <f t="shared" ref="J44:J50" si="38">$B44/4</f>
        <v>1.675</v>
      </c>
      <c r="K44" s="52">
        <f t="shared" ref="K44:O44" si="35">C44/4</f>
        <v>67</v>
      </c>
      <c r="L44" s="52">
        <f t="shared" si="35"/>
        <v>73.03</v>
      </c>
      <c r="M44" s="52">
        <f t="shared" si="35"/>
        <v>78.8724</v>
      </c>
      <c r="N44" s="52">
        <f t="shared" si="35"/>
        <v>84.393468</v>
      </c>
      <c r="O44" s="52">
        <f t="shared" si="35"/>
        <v>89.87904342</v>
      </c>
      <c r="Q44" s="4" t="s">
        <v>45</v>
      </c>
      <c r="R44" s="37">
        <f t="shared" ref="R44:W44" si="36">B44/16</f>
        <v>0.41875</v>
      </c>
      <c r="S44" s="42">
        <f t="shared" si="36"/>
        <v>16.75</v>
      </c>
      <c r="T44" s="42">
        <f t="shared" si="36"/>
        <v>18.2575</v>
      </c>
      <c r="U44" s="42">
        <f t="shared" si="36"/>
        <v>19.7181</v>
      </c>
      <c r="V44" s="42">
        <f t="shared" si="36"/>
        <v>21.098367</v>
      </c>
      <c r="W44" s="42">
        <f t="shared" si="36"/>
        <v>22.46976086</v>
      </c>
    </row>
    <row r="45" ht="15.75" customHeight="1">
      <c r="A45" s="4" t="s">
        <v>46</v>
      </c>
      <c r="B45" s="37">
        <v>4.2</v>
      </c>
      <c r="C45" s="50">
        <v>147.0</v>
      </c>
      <c r="D45" s="51">
        <f t="shared" ref="D45:G45" si="37">C45*(1+E$5)</f>
        <v>160.23</v>
      </c>
      <c r="E45" s="51">
        <f t="shared" si="37"/>
        <v>173.0484</v>
      </c>
      <c r="F45" s="51">
        <f t="shared" si="37"/>
        <v>185.161788</v>
      </c>
      <c r="G45" s="51">
        <f t="shared" si="37"/>
        <v>197.1973042</v>
      </c>
      <c r="I45" s="4" t="s">
        <v>46</v>
      </c>
      <c r="J45" s="37">
        <f t="shared" si="38"/>
        <v>1.05</v>
      </c>
      <c r="K45" s="52">
        <f t="shared" ref="K45:O45" si="39">C45/4</f>
        <v>36.75</v>
      </c>
      <c r="L45" s="52">
        <f t="shared" si="39"/>
        <v>40.0575</v>
      </c>
      <c r="M45" s="52">
        <f t="shared" si="39"/>
        <v>43.2621</v>
      </c>
      <c r="N45" s="52">
        <f t="shared" si="39"/>
        <v>46.290447</v>
      </c>
      <c r="O45" s="52">
        <f t="shared" si="39"/>
        <v>49.29932606</v>
      </c>
      <c r="Q45" s="4" t="s">
        <v>46</v>
      </c>
      <c r="R45" s="37">
        <f t="shared" ref="R45:W45" si="40">B45/16</f>
        <v>0.2625</v>
      </c>
      <c r="S45" s="42">
        <f t="shared" si="40"/>
        <v>9.1875</v>
      </c>
      <c r="T45" s="42">
        <f t="shared" si="40"/>
        <v>10.014375</v>
      </c>
      <c r="U45" s="42">
        <f t="shared" si="40"/>
        <v>10.815525</v>
      </c>
      <c r="V45" s="42">
        <f t="shared" si="40"/>
        <v>11.57261175</v>
      </c>
      <c r="W45" s="42">
        <f t="shared" si="40"/>
        <v>12.32483151</v>
      </c>
    </row>
    <row r="46" ht="15.75" customHeight="1">
      <c r="A46" s="4" t="s">
        <v>47</v>
      </c>
      <c r="B46" s="37">
        <v>2.2</v>
      </c>
      <c r="C46" s="50">
        <v>2640.0</v>
      </c>
      <c r="D46" s="51">
        <f t="shared" ref="D46:G46" si="41">C46*(1+E$6+$B$9)</f>
        <v>2872.32</v>
      </c>
      <c r="E46" s="51">
        <f t="shared" si="41"/>
        <v>3119.33952</v>
      </c>
      <c r="F46" s="51">
        <f t="shared" si="41"/>
        <v>3384.483379</v>
      </c>
      <c r="G46" s="51">
        <f t="shared" si="41"/>
        <v>3672.164466</v>
      </c>
      <c r="I46" s="4" t="s">
        <v>47</v>
      </c>
      <c r="J46" s="37">
        <f t="shared" si="38"/>
        <v>0.55</v>
      </c>
      <c r="K46" s="52">
        <f t="shared" ref="K46:O46" si="42">C46/4</f>
        <v>660</v>
      </c>
      <c r="L46" s="52">
        <f t="shared" si="42"/>
        <v>718.08</v>
      </c>
      <c r="M46" s="52">
        <f t="shared" si="42"/>
        <v>779.83488</v>
      </c>
      <c r="N46" s="52">
        <f t="shared" si="42"/>
        <v>846.1208448</v>
      </c>
      <c r="O46" s="52">
        <f t="shared" si="42"/>
        <v>918.0411166</v>
      </c>
      <c r="Q46" s="4" t="s">
        <v>47</v>
      </c>
      <c r="R46" s="37">
        <f t="shared" ref="R46:W46" si="43">B46/16</f>
        <v>0.1375</v>
      </c>
      <c r="S46" s="42">
        <f t="shared" si="43"/>
        <v>165</v>
      </c>
      <c r="T46" s="42">
        <f t="shared" si="43"/>
        <v>179.52</v>
      </c>
      <c r="U46" s="42">
        <f t="shared" si="43"/>
        <v>194.95872</v>
      </c>
      <c r="V46" s="42">
        <f t="shared" si="43"/>
        <v>211.5302112</v>
      </c>
      <c r="W46" s="42">
        <f t="shared" si="43"/>
        <v>229.5102792</v>
      </c>
    </row>
    <row r="47" ht="15.75" customHeight="1">
      <c r="A47" s="4" t="s">
        <v>48</v>
      </c>
      <c r="B47" s="37">
        <v>1.8</v>
      </c>
      <c r="C47" s="50">
        <v>1170.0</v>
      </c>
      <c r="D47" s="51">
        <f t="shared" ref="D47:G47" si="44">C47*(1+E$5)</f>
        <v>1275.3</v>
      </c>
      <c r="E47" s="51">
        <f t="shared" si="44"/>
        <v>1377.324</v>
      </c>
      <c r="F47" s="51">
        <f t="shared" si="44"/>
        <v>1473.73668</v>
      </c>
      <c r="G47" s="51">
        <f t="shared" si="44"/>
        <v>1569.529564</v>
      </c>
      <c r="I47" s="4" t="s">
        <v>48</v>
      </c>
      <c r="J47" s="37">
        <f t="shared" si="38"/>
        <v>0.45</v>
      </c>
      <c r="K47" s="52">
        <f t="shared" ref="K47:O47" si="45">C47/4</f>
        <v>292.5</v>
      </c>
      <c r="L47" s="52">
        <f t="shared" si="45"/>
        <v>318.825</v>
      </c>
      <c r="M47" s="52">
        <f t="shared" si="45"/>
        <v>344.331</v>
      </c>
      <c r="N47" s="52">
        <f t="shared" si="45"/>
        <v>368.43417</v>
      </c>
      <c r="O47" s="52">
        <f t="shared" si="45"/>
        <v>392.3823911</v>
      </c>
      <c r="Q47" s="4" t="s">
        <v>48</v>
      </c>
      <c r="R47" s="37">
        <f t="shared" ref="R47:W47" si="46">B47/16</f>
        <v>0.1125</v>
      </c>
      <c r="S47" s="42">
        <f t="shared" si="46"/>
        <v>73.125</v>
      </c>
      <c r="T47" s="42">
        <f t="shared" si="46"/>
        <v>79.70625</v>
      </c>
      <c r="U47" s="42">
        <f t="shared" si="46"/>
        <v>86.08275</v>
      </c>
      <c r="V47" s="42">
        <f t="shared" si="46"/>
        <v>92.1085425</v>
      </c>
      <c r="W47" s="42">
        <f t="shared" si="46"/>
        <v>98.09559776</v>
      </c>
    </row>
    <row r="48" ht="15.75" customHeight="1">
      <c r="A48" s="4" t="s">
        <v>53</v>
      </c>
      <c r="B48" s="37">
        <v>0.08</v>
      </c>
      <c r="C48" s="50">
        <v>200.0</v>
      </c>
      <c r="D48" s="51">
        <f t="shared" ref="D48:G48" si="47">C48*(1+E$6+$B$9)</f>
        <v>217.6</v>
      </c>
      <c r="E48" s="51">
        <f t="shared" si="47"/>
        <v>236.3136</v>
      </c>
      <c r="F48" s="51">
        <f t="shared" si="47"/>
        <v>256.400256</v>
      </c>
      <c r="G48" s="51">
        <f t="shared" si="47"/>
        <v>278.1942778</v>
      </c>
      <c r="I48" s="4" t="s">
        <v>53</v>
      </c>
      <c r="J48" s="37">
        <f t="shared" si="38"/>
        <v>0.02</v>
      </c>
      <c r="K48" s="52">
        <f t="shared" ref="K48:O48" si="48">C48/4</f>
        <v>50</v>
      </c>
      <c r="L48" s="52">
        <f t="shared" si="48"/>
        <v>54.4</v>
      </c>
      <c r="M48" s="52">
        <f t="shared" si="48"/>
        <v>59.0784</v>
      </c>
      <c r="N48" s="52">
        <f t="shared" si="48"/>
        <v>64.100064</v>
      </c>
      <c r="O48" s="52">
        <f t="shared" si="48"/>
        <v>69.54856944</v>
      </c>
      <c r="Q48" s="4" t="s">
        <v>53</v>
      </c>
      <c r="R48" s="37">
        <f t="shared" ref="R48:W48" si="49">B48/16</f>
        <v>0.005</v>
      </c>
      <c r="S48" s="42">
        <f t="shared" si="49"/>
        <v>12.5</v>
      </c>
      <c r="T48" s="42">
        <f t="shared" si="49"/>
        <v>13.6</v>
      </c>
      <c r="U48" s="42">
        <f t="shared" si="49"/>
        <v>14.7696</v>
      </c>
      <c r="V48" s="42">
        <f t="shared" si="49"/>
        <v>16.025016</v>
      </c>
      <c r="W48" s="42">
        <f t="shared" si="49"/>
        <v>17.38714236</v>
      </c>
    </row>
    <row r="49" ht="15.75" customHeight="1">
      <c r="A49" s="4" t="s">
        <v>49</v>
      </c>
      <c r="B49" s="37">
        <v>0.13</v>
      </c>
      <c r="C49" s="50">
        <v>130.0</v>
      </c>
      <c r="D49" s="51">
        <f t="shared" ref="D49:G49" si="50">C49*(1+E$5)</f>
        <v>141.7</v>
      </c>
      <c r="E49" s="51">
        <f t="shared" si="50"/>
        <v>153.036</v>
      </c>
      <c r="F49" s="51">
        <f t="shared" si="50"/>
        <v>163.74852</v>
      </c>
      <c r="G49" s="51">
        <f t="shared" si="50"/>
        <v>174.3921738</v>
      </c>
      <c r="I49" s="4" t="s">
        <v>49</v>
      </c>
      <c r="J49" s="37">
        <f t="shared" si="38"/>
        <v>0.0325</v>
      </c>
      <c r="K49" s="52">
        <f t="shared" ref="K49:O49" si="51">C49/4</f>
        <v>32.5</v>
      </c>
      <c r="L49" s="52">
        <f t="shared" si="51"/>
        <v>35.425</v>
      </c>
      <c r="M49" s="52">
        <f t="shared" si="51"/>
        <v>38.259</v>
      </c>
      <c r="N49" s="52">
        <f t="shared" si="51"/>
        <v>40.93713</v>
      </c>
      <c r="O49" s="52">
        <f t="shared" si="51"/>
        <v>43.59804345</v>
      </c>
      <c r="Q49" s="4" t="s">
        <v>49</v>
      </c>
      <c r="R49" s="37">
        <f t="shared" ref="R49:W49" si="52">B49/16</f>
        <v>0.008125</v>
      </c>
      <c r="S49" s="42">
        <f t="shared" si="52"/>
        <v>8.125</v>
      </c>
      <c r="T49" s="42">
        <f t="shared" si="52"/>
        <v>8.85625</v>
      </c>
      <c r="U49" s="42">
        <f t="shared" si="52"/>
        <v>9.56475</v>
      </c>
      <c r="V49" s="42">
        <f t="shared" si="52"/>
        <v>10.2342825</v>
      </c>
      <c r="W49" s="42">
        <f t="shared" si="52"/>
        <v>10.89951086</v>
      </c>
    </row>
    <row r="50" ht="15.75" customHeight="1">
      <c r="A50" s="4" t="s">
        <v>54</v>
      </c>
      <c r="B50" s="37">
        <v>0.08</v>
      </c>
      <c r="C50" s="50">
        <v>80.0</v>
      </c>
      <c r="D50" s="51">
        <f t="shared" ref="D50:G50" si="53">C50*(1+E$6+$B$9)</f>
        <v>87.04</v>
      </c>
      <c r="E50" s="51">
        <f t="shared" si="53"/>
        <v>94.52544</v>
      </c>
      <c r="F50" s="51">
        <f t="shared" si="53"/>
        <v>102.5601024</v>
      </c>
      <c r="G50" s="51">
        <f t="shared" si="53"/>
        <v>111.2777111</v>
      </c>
      <c r="I50" s="4" t="s">
        <v>54</v>
      </c>
      <c r="J50" s="37">
        <f t="shared" si="38"/>
        <v>0.02</v>
      </c>
      <c r="K50" s="52">
        <f t="shared" ref="K50:O50" si="54">C50/4</f>
        <v>20</v>
      </c>
      <c r="L50" s="52">
        <f t="shared" si="54"/>
        <v>21.76</v>
      </c>
      <c r="M50" s="52">
        <f t="shared" si="54"/>
        <v>23.63136</v>
      </c>
      <c r="N50" s="52">
        <f t="shared" si="54"/>
        <v>25.6400256</v>
      </c>
      <c r="O50" s="52">
        <f t="shared" si="54"/>
        <v>27.81942778</v>
      </c>
      <c r="Q50" s="4" t="s">
        <v>54</v>
      </c>
      <c r="R50" s="37">
        <f t="shared" ref="R50:W50" si="55">B50/16</f>
        <v>0.005</v>
      </c>
      <c r="S50" s="42">
        <f t="shared" si="55"/>
        <v>5</v>
      </c>
      <c r="T50" s="42">
        <f t="shared" si="55"/>
        <v>5.44</v>
      </c>
      <c r="U50" s="42">
        <f t="shared" si="55"/>
        <v>5.90784</v>
      </c>
      <c r="V50" s="42">
        <f t="shared" si="55"/>
        <v>6.4100064</v>
      </c>
      <c r="W50" s="42">
        <f t="shared" si="55"/>
        <v>6.954856944</v>
      </c>
    </row>
    <row r="51" ht="15.75" customHeight="1">
      <c r="A51" s="43" t="str">
        <f>A41</f>
        <v>Total Material Cost</v>
      </c>
      <c r="C51" s="44">
        <f t="shared" ref="C51:G51" si="56">SUM(C44:C50)</f>
        <v>4635</v>
      </c>
      <c r="D51" s="45">
        <f t="shared" si="56"/>
        <v>5046.31</v>
      </c>
      <c r="E51" s="45">
        <f t="shared" si="56"/>
        <v>5469.07656</v>
      </c>
      <c r="F51" s="45">
        <f t="shared" si="56"/>
        <v>5903.664598</v>
      </c>
      <c r="G51" s="45">
        <f t="shared" si="56"/>
        <v>6362.271671</v>
      </c>
      <c r="I51" s="43" t="str">
        <f>I41</f>
        <v>Total Material Cost</v>
      </c>
      <c r="K51" s="53">
        <f t="shared" ref="K51:O51" si="57">C51/4</f>
        <v>1158.75</v>
      </c>
      <c r="L51" s="53">
        <f t="shared" si="57"/>
        <v>1261.5775</v>
      </c>
      <c r="M51" s="53">
        <f t="shared" si="57"/>
        <v>1367.26914</v>
      </c>
      <c r="N51" s="53">
        <f t="shared" si="57"/>
        <v>1475.916149</v>
      </c>
      <c r="O51" s="53">
        <f t="shared" si="57"/>
        <v>1590.567918</v>
      </c>
      <c r="Q51" s="43" t="str">
        <f>Q41</f>
        <v>Total Material Cost</v>
      </c>
      <c r="S51" s="53">
        <f t="shared" ref="S51:W51" si="58">SUM(S44:S50)</f>
        <v>289.6875</v>
      </c>
      <c r="T51" s="53">
        <f t="shared" si="58"/>
        <v>315.394375</v>
      </c>
      <c r="U51" s="53">
        <f t="shared" si="58"/>
        <v>341.817285</v>
      </c>
      <c r="V51" s="53">
        <f t="shared" si="58"/>
        <v>368.9790374</v>
      </c>
      <c r="W51" s="53">
        <f t="shared" si="58"/>
        <v>397.6419794</v>
      </c>
    </row>
    <row r="52" ht="15.75" customHeight="1"/>
    <row r="53" ht="15.75" customHeight="1">
      <c r="A53" s="43" t="s">
        <v>55</v>
      </c>
      <c r="B53" s="36" t="str">
        <f t="shared" ref="B53:G53" si="59">B43</f>
        <v>units</v>
      </c>
      <c r="C53" s="36" t="str">
        <f t="shared" si="59"/>
        <v>2026 PKR per drummi </v>
      </c>
      <c r="D53" s="36">
        <f t="shared" si="59"/>
        <v>2027</v>
      </c>
      <c r="E53" s="36">
        <f t="shared" si="59"/>
        <v>2028</v>
      </c>
      <c r="F53" s="36">
        <f t="shared" si="59"/>
        <v>2029</v>
      </c>
      <c r="G53" s="36">
        <f t="shared" si="59"/>
        <v>2030</v>
      </c>
      <c r="I53" s="43" t="s">
        <v>55</v>
      </c>
      <c r="J53" s="36" t="str">
        <f t="shared" ref="J53:O53" si="60">J43</f>
        <v>units</v>
      </c>
      <c r="K53" s="36" t="str">
        <f t="shared" si="60"/>
        <v>2026 PKR per gallon</v>
      </c>
      <c r="L53" s="36">
        <f t="shared" si="60"/>
        <v>2027</v>
      </c>
      <c r="M53" s="36">
        <f t="shared" si="60"/>
        <v>2028</v>
      </c>
      <c r="N53" s="36">
        <f t="shared" si="60"/>
        <v>2029</v>
      </c>
      <c r="O53" s="36">
        <f t="shared" si="60"/>
        <v>2030</v>
      </c>
      <c r="Q53" s="43" t="s">
        <v>55</v>
      </c>
      <c r="R53" s="36" t="str">
        <f t="shared" ref="R53:W53" si="61">R43</f>
        <v>units</v>
      </c>
      <c r="S53" s="36" t="str">
        <f t="shared" si="61"/>
        <v>2026 PKR per Litre</v>
      </c>
      <c r="T53" s="36">
        <f t="shared" si="61"/>
        <v>2027</v>
      </c>
      <c r="U53" s="36">
        <f t="shared" si="61"/>
        <v>2028</v>
      </c>
      <c r="V53" s="36">
        <f t="shared" si="61"/>
        <v>2029</v>
      </c>
      <c r="W53" s="36">
        <f t="shared" si="61"/>
        <v>2030</v>
      </c>
    </row>
    <row r="54" ht="15.75" customHeight="1">
      <c r="A54" s="4" t="s">
        <v>45</v>
      </c>
      <c r="B54" s="37">
        <v>6.1</v>
      </c>
      <c r="C54" s="50">
        <v>244.0</v>
      </c>
      <c r="D54" s="51">
        <f t="shared" ref="D54:G54" si="62">C54*(1+E$5)</f>
        <v>265.96</v>
      </c>
      <c r="E54" s="51">
        <f t="shared" si="62"/>
        <v>287.2368</v>
      </c>
      <c r="F54" s="51">
        <f t="shared" si="62"/>
        <v>307.343376</v>
      </c>
      <c r="G54" s="51">
        <f t="shared" si="62"/>
        <v>327.3206954</v>
      </c>
      <c r="I54" s="4" t="s">
        <v>45</v>
      </c>
      <c r="J54" s="54">
        <f t="shared" ref="J54:O54" si="63">B54/4</f>
        <v>1.525</v>
      </c>
      <c r="K54" s="42">
        <f t="shared" si="63"/>
        <v>61</v>
      </c>
      <c r="L54" s="42">
        <f t="shared" si="63"/>
        <v>66.49</v>
      </c>
      <c r="M54" s="42">
        <f t="shared" si="63"/>
        <v>71.8092</v>
      </c>
      <c r="N54" s="42">
        <f t="shared" si="63"/>
        <v>76.835844</v>
      </c>
      <c r="O54" s="42">
        <f t="shared" si="63"/>
        <v>81.83017386</v>
      </c>
      <c r="Q54" s="4" t="s">
        <v>45</v>
      </c>
      <c r="R54" s="54">
        <f t="shared" ref="R54:R59" si="67">B54/16</f>
        <v>0.38125</v>
      </c>
      <c r="S54" s="42">
        <f t="shared" ref="S54:W54" si="64">K54/4</f>
        <v>15.25</v>
      </c>
      <c r="T54" s="42">
        <f t="shared" si="64"/>
        <v>16.6225</v>
      </c>
      <c r="U54" s="42">
        <f t="shared" si="64"/>
        <v>17.9523</v>
      </c>
      <c r="V54" s="42">
        <f t="shared" si="64"/>
        <v>19.208961</v>
      </c>
      <c r="W54" s="42">
        <f t="shared" si="64"/>
        <v>20.45754347</v>
      </c>
    </row>
    <row r="55" ht="15.75" customHeight="1">
      <c r="A55" s="4" t="s">
        <v>46</v>
      </c>
      <c r="B55" s="37">
        <v>3.2</v>
      </c>
      <c r="C55" s="50">
        <v>168.0</v>
      </c>
      <c r="D55" s="51">
        <f t="shared" ref="D55:G55" si="65">C55*(1+E$5)</f>
        <v>183.12</v>
      </c>
      <c r="E55" s="51">
        <f t="shared" si="65"/>
        <v>197.7696</v>
      </c>
      <c r="F55" s="51">
        <f t="shared" si="65"/>
        <v>211.613472</v>
      </c>
      <c r="G55" s="51">
        <f t="shared" si="65"/>
        <v>225.3683477</v>
      </c>
      <c r="I55" s="4" t="s">
        <v>46</v>
      </c>
      <c r="J55" s="54">
        <f t="shared" ref="J55:O55" si="66">B55/4</f>
        <v>0.8</v>
      </c>
      <c r="K55" s="42">
        <f t="shared" si="66"/>
        <v>42</v>
      </c>
      <c r="L55" s="42">
        <f t="shared" si="66"/>
        <v>45.78</v>
      </c>
      <c r="M55" s="42">
        <f t="shared" si="66"/>
        <v>49.4424</v>
      </c>
      <c r="N55" s="42">
        <f t="shared" si="66"/>
        <v>52.903368</v>
      </c>
      <c r="O55" s="42">
        <f t="shared" si="66"/>
        <v>56.34208692</v>
      </c>
      <c r="Q55" s="4" t="s">
        <v>46</v>
      </c>
      <c r="R55" s="54">
        <f t="shared" si="67"/>
        <v>0.2</v>
      </c>
      <c r="S55" s="42">
        <f t="shared" ref="S55:W55" si="68">K55/4</f>
        <v>10.5</v>
      </c>
      <c r="T55" s="42">
        <f t="shared" si="68"/>
        <v>11.445</v>
      </c>
      <c r="U55" s="42">
        <f t="shared" si="68"/>
        <v>12.3606</v>
      </c>
      <c r="V55" s="42">
        <f t="shared" si="68"/>
        <v>13.225842</v>
      </c>
      <c r="W55" s="42">
        <f t="shared" si="68"/>
        <v>14.08552173</v>
      </c>
    </row>
    <row r="56" ht="15.75" customHeight="1">
      <c r="A56" s="4" t="s">
        <v>47</v>
      </c>
      <c r="B56" s="37">
        <v>2.6</v>
      </c>
      <c r="C56" s="50">
        <v>3120.0</v>
      </c>
      <c r="D56" s="51">
        <f t="shared" ref="D56:G56" si="69">C56*(1+E$6+$B$9)</f>
        <v>3394.56</v>
      </c>
      <c r="E56" s="51">
        <f t="shared" si="69"/>
        <v>3686.49216</v>
      </c>
      <c r="F56" s="51">
        <f t="shared" si="69"/>
        <v>3999.843994</v>
      </c>
      <c r="G56" s="51">
        <f t="shared" si="69"/>
        <v>4339.830733</v>
      </c>
      <c r="I56" s="4" t="s">
        <v>47</v>
      </c>
      <c r="J56" s="54">
        <f t="shared" ref="J56:O56" si="70">B56/4</f>
        <v>0.65</v>
      </c>
      <c r="K56" s="42">
        <f t="shared" si="70"/>
        <v>780</v>
      </c>
      <c r="L56" s="42">
        <f t="shared" si="70"/>
        <v>848.64</v>
      </c>
      <c r="M56" s="42">
        <f t="shared" si="70"/>
        <v>921.62304</v>
      </c>
      <c r="N56" s="42">
        <f t="shared" si="70"/>
        <v>999.9609984</v>
      </c>
      <c r="O56" s="42">
        <f t="shared" si="70"/>
        <v>1084.957683</v>
      </c>
      <c r="Q56" s="4" t="s">
        <v>47</v>
      </c>
      <c r="R56" s="54">
        <f t="shared" si="67"/>
        <v>0.1625</v>
      </c>
      <c r="S56" s="42">
        <f t="shared" ref="S56:W56" si="71">K56/4</f>
        <v>195</v>
      </c>
      <c r="T56" s="42">
        <f t="shared" si="71"/>
        <v>212.16</v>
      </c>
      <c r="U56" s="42">
        <f t="shared" si="71"/>
        <v>230.40576</v>
      </c>
      <c r="V56" s="42">
        <f t="shared" si="71"/>
        <v>249.9902496</v>
      </c>
      <c r="W56" s="42">
        <f t="shared" si="71"/>
        <v>271.2394208</v>
      </c>
    </row>
    <row r="57" ht="15.75" customHeight="1">
      <c r="A57" s="4" t="s">
        <v>54</v>
      </c>
      <c r="B57" s="50">
        <v>0.1</v>
      </c>
      <c r="C57" s="50">
        <v>100.0</v>
      </c>
      <c r="D57" s="51">
        <f t="shared" ref="D57:G57" si="72">C57*(1+E$5+$B$9)</f>
        <v>115</v>
      </c>
      <c r="E57" s="51">
        <f t="shared" si="72"/>
        <v>131.1</v>
      </c>
      <c r="F57" s="51">
        <f t="shared" si="72"/>
        <v>148.143</v>
      </c>
      <c r="G57" s="51">
        <f t="shared" si="72"/>
        <v>166.660875</v>
      </c>
      <c r="I57" s="4" t="s">
        <v>54</v>
      </c>
      <c r="J57" s="54">
        <f t="shared" ref="J57:O57" si="73">B57/4</f>
        <v>0.025</v>
      </c>
      <c r="K57" s="42">
        <f t="shared" si="73"/>
        <v>25</v>
      </c>
      <c r="L57" s="42">
        <f t="shared" si="73"/>
        <v>28.75</v>
      </c>
      <c r="M57" s="42">
        <f t="shared" si="73"/>
        <v>32.775</v>
      </c>
      <c r="N57" s="42">
        <f t="shared" si="73"/>
        <v>37.03575</v>
      </c>
      <c r="O57" s="42">
        <f t="shared" si="73"/>
        <v>41.66521875</v>
      </c>
      <c r="Q57" s="4" t="s">
        <v>54</v>
      </c>
      <c r="R57" s="54">
        <f t="shared" si="67"/>
        <v>0.00625</v>
      </c>
      <c r="S57" s="42">
        <f t="shared" ref="S57:W57" si="74">K57/4</f>
        <v>6.25</v>
      </c>
      <c r="T57" s="42">
        <f t="shared" si="74"/>
        <v>7.1875</v>
      </c>
      <c r="U57" s="42">
        <f t="shared" si="74"/>
        <v>8.19375</v>
      </c>
      <c r="V57" s="42">
        <f t="shared" si="74"/>
        <v>9.2589375</v>
      </c>
      <c r="W57" s="42">
        <f t="shared" si="74"/>
        <v>10.41630469</v>
      </c>
    </row>
    <row r="58" ht="15.75" customHeight="1">
      <c r="A58" s="4" t="s">
        <v>56</v>
      </c>
      <c r="B58" s="37">
        <v>0.18</v>
      </c>
      <c r="C58" s="50">
        <v>216.0</v>
      </c>
      <c r="D58" s="51">
        <f t="shared" ref="D58:G58" si="75">C58*(1+E$6+$B$9)</f>
        <v>235.008</v>
      </c>
      <c r="E58" s="51">
        <f t="shared" si="75"/>
        <v>255.218688</v>
      </c>
      <c r="F58" s="51">
        <f t="shared" si="75"/>
        <v>276.9122765</v>
      </c>
      <c r="G58" s="51">
        <f t="shared" si="75"/>
        <v>300.44982</v>
      </c>
      <c r="I58" s="4" t="s">
        <v>56</v>
      </c>
      <c r="J58" s="54">
        <f t="shared" ref="J58:O58" si="76">B58/4</f>
        <v>0.045</v>
      </c>
      <c r="K58" s="42">
        <f t="shared" si="76"/>
        <v>54</v>
      </c>
      <c r="L58" s="42">
        <f t="shared" si="76"/>
        <v>58.752</v>
      </c>
      <c r="M58" s="42">
        <f t="shared" si="76"/>
        <v>63.804672</v>
      </c>
      <c r="N58" s="42">
        <f t="shared" si="76"/>
        <v>69.22806912</v>
      </c>
      <c r="O58" s="42">
        <f t="shared" si="76"/>
        <v>75.112455</v>
      </c>
      <c r="Q58" s="4" t="s">
        <v>56</v>
      </c>
      <c r="R58" s="54">
        <f t="shared" si="67"/>
        <v>0.01125</v>
      </c>
      <c r="S58" s="42">
        <f t="shared" ref="S58:W58" si="77">K58/4</f>
        <v>13.5</v>
      </c>
      <c r="T58" s="42">
        <f t="shared" si="77"/>
        <v>14.688</v>
      </c>
      <c r="U58" s="42">
        <f t="shared" si="77"/>
        <v>15.951168</v>
      </c>
      <c r="V58" s="42">
        <f t="shared" si="77"/>
        <v>17.30701728</v>
      </c>
      <c r="W58" s="42">
        <f t="shared" si="77"/>
        <v>18.77811375</v>
      </c>
    </row>
    <row r="59" ht="15.75" customHeight="1">
      <c r="A59" s="55" t="s">
        <v>57</v>
      </c>
      <c r="B59" s="37">
        <v>2.4</v>
      </c>
      <c r="C59" s="50">
        <v>1560.0</v>
      </c>
      <c r="D59" s="51">
        <f t="shared" ref="D59:G59" si="78">C59*(1+E$6+$B$9)</f>
        <v>1697.28</v>
      </c>
      <c r="E59" s="51">
        <f t="shared" si="78"/>
        <v>1843.24608</v>
      </c>
      <c r="F59" s="51">
        <f t="shared" si="78"/>
        <v>1999.921997</v>
      </c>
      <c r="G59" s="51">
        <f t="shared" si="78"/>
        <v>2169.915367</v>
      </c>
      <c r="I59" s="55" t="s">
        <v>57</v>
      </c>
      <c r="J59" s="54">
        <f t="shared" ref="J59:O59" si="79">B59/4</f>
        <v>0.6</v>
      </c>
      <c r="K59" s="42">
        <f t="shared" si="79"/>
        <v>390</v>
      </c>
      <c r="L59" s="42">
        <f t="shared" si="79"/>
        <v>424.32</v>
      </c>
      <c r="M59" s="42">
        <f t="shared" si="79"/>
        <v>460.81152</v>
      </c>
      <c r="N59" s="42">
        <f t="shared" si="79"/>
        <v>499.9804992</v>
      </c>
      <c r="O59" s="42">
        <f t="shared" si="79"/>
        <v>542.4788416</v>
      </c>
      <c r="Q59" s="55" t="s">
        <v>57</v>
      </c>
      <c r="R59" s="54">
        <f t="shared" si="67"/>
        <v>0.15</v>
      </c>
      <c r="S59" s="42">
        <f t="shared" ref="S59:W59" si="80">K59/4</f>
        <v>97.5</v>
      </c>
      <c r="T59" s="42">
        <f t="shared" si="80"/>
        <v>106.08</v>
      </c>
      <c r="U59" s="42">
        <f t="shared" si="80"/>
        <v>115.20288</v>
      </c>
      <c r="V59" s="42">
        <f t="shared" si="80"/>
        <v>124.9951248</v>
      </c>
      <c r="W59" s="42">
        <f t="shared" si="80"/>
        <v>135.6197104</v>
      </c>
    </row>
    <row r="60" ht="15.75" customHeight="1">
      <c r="A60" s="43" t="str">
        <f>A51</f>
        <v>Total Material Cost</v>
      </c>
      <c r="C60" s="44">
        <f t="shared" ref="C60:G60" si="81">SUM(C54:C59)</f>
        <v>5408</v>
      </c>
      <c r="D60" s="45">
        <f t="shared" si="81"/>
        <v>5890.928</v>
      </c>
      <c r="E60" s="45">
        <f t="shared" si="81"/>
        <v>6401.063328</v>
      </c>
      <c r="F60" s="45">
        <f t="shared" si="81"/>
        <v>6943.778115</v>
      </c>
      <c r="G60" s="45">
        <f t="shared" si="81"/>
        <v>7529.545838</v>
      </c>
      <c r="I60" s="43" t="str">
        <f>I51</f>
        <v>Total Material Cost</v>
      </c>
      <c r="K60" s="45">
        <f t="shared" ref="K60:O60" si="82">SUM(K54:K59)</f>
        <v>1352</v>
      </c>
      <c r="L60" s="45">
        <f t="shared" si="82"/>
        <v>1472.732</v>
      </c>
      <c r="M60" s="45">
        <f t="shared" si="82"/>
        <v>1600.265832</v>
      </c>
      <c r="N60" s="45">
        <f t="shared" si="82"/>
        <v>1735.944529</v>
      </c>
      <c r="O60" s="45">
        <f t="shared" si="82"/>
        <v>1882.386459</v>
      </c>
      <c r="Q60" s="43" t="str">
        <f>Q51</f>
        <v>Total Material Cost</v>
      </c>
      <c r="S60" s="45">
        <f t="shared" ref="S60:W60" si="83">SUM(S54:S59)</f>
        <v>338</v>
      </c>
      <c r="T60" s="45">
        <f t="shared" si="83"/>
        <v>368.183</v>
      </c>
      <c r="U60" s="45">
        <f t="shared" si="83"/>
        <v>400.066458</v>
      </c>
      <c r="V60" s="45">
        <f t="shared" si="83"/>
        <v>433.9861322</v>
      </c>
      <c r="W60" s="45">
        <f t="shared" si="83"/>
        <v>470.5966149</v>
      </c>
    </row>
    <row r="61" ht="15.75" customHeight="1"/>
    <row r="62" ht="15.75" customHeight="1">
      <c r="A62" s="43" t="s">
        <v>58</v>
      </c>
      <c r="B62" s="36" t="str">
        <f t="shared" ref="B62:G62" si="84">B53</f>
        <v>units</v>
      </c>
      <c r="C62" s="36" t="str">
        <f t="shared" si="84"/>
        <v>2026 PKR per drummi </v>
      </c>
      <c r="D62" s="36">
        <f t="shared" si="84"/>
        <v>2027</v>
      </c>
      <c r="E62" s="36">
        <f t="shared" si="84"/>
        <v>2028</v>
      </c>
      <c r="F62" s="36">
        <f t="shared" si="84"/>
        <v>2029</v>
      </c>
      <c r="G62" s="36">
        <f t="shared" si="84"/>
        <v>2030</v>
      </c>
      <c r="I62" s="43" t="s">
        <v>58</v>
      </c>
      <c r="J62" s="36" t="str">
        <f t="shared" ref="J62:O62" si="85">J53</f>
        <v>units</v>
      </c>
      <c r="K62" s="36" t="str">
        <f t="shared" si="85"/>
        <v>2026 PKR per gallon</v>
      </c>
      <c r="L62" s="36">
        <f t="shared" si="85"/>
        <v>2027</v>
      </c>
      <c r="M62" s="36">
        <f t="shared" si="85"/>
        <v>2028</v>
      </c>
      <c r="N62" s="36">
        <f t="shared" si="85"/>
        <v>2029</v>
      </c>
      <c r="O62" s="36">
        <f t="shared" si="85"/>
        <v>2030</v>
      </c>
      <c r="Q62" s="43" t="s">
        <v>58</v>
      </c>
      <c r="R62" s="36" t="str">
        <f t="shared" ref="R62:W62" si="86">R53</f>
        <v>units</v>
      </c>
      <c r="S62" s="36" t="str">
        <f t="shared" si="86"/>
        <v>2026 PKR per Litre</v>
      </c>
      <c r="T62" s="36">
        <f t="shared" si="86"/>
        <v>2027</v>
      </c>
      <c r="U62" s="36">
        <f t="shared" si="86"/>
        <v>2028</v>
      </c>
      <c r="V62" s="36">
        <f t="shared" si="86"/>
        <v>2029</v>
      </c>
      <c r="W62" s="36">
        <f t="shared" si="86"/>
        <v>2030</v>
      </c>
    </row>
    <row r="63" ht="15.75" customHeight="1">
      <c r="A63" s="4" t="s">
        <v>45</v>
      </c>
      <c r="B63" s="37">
        <v>6.1</v>
      </c>
      <c r="C63" s="50">
        <v>244.0</v>
      </c>
      <c r="D63" s="51">
        <f t="shared" ref="D63:G63" si="87">C63*(1+E$5)</f>
        <v>265.96</v>
      </c>
      <c r="E63" s="51">
        <f t="shared" si="87"/>
        <v>287.2368</v>
      </c>
      <c r="F63" s="51">
        <f t="shared" si="87"/>
        <v>307.343376</v>
      </c>
      <c r="G63" s="51">
        <f t="shared" si="87"/>
        <v>327.3206954</v>
      </c>
      <c r="I63" s="4" t="s">
        <v>45</v>
      </c>
      <c r="J63" s="54">
        <f t="shared" ref="J63:O63" si="88">B63/4</f>
        <v>1.525</v>
      </c>
      <c r="K63" s="42">
        <f t="shared" si="88"/>
        <v>61</v>
      </c>
      <c r="L63" s="42">
        <f t="shared" si="88"/>
        <v>66.49</v>
      </c>
      <c r="M63" s="42">
        <f t="shared" si="88"/>
        <v>71.8092</v>
      </c>
      <c r="N63" s="42">
        <f t="shared" si="88"/>
        <v>76.835844</v>
      </c>
      <c r="O63" s="42">
        <f t="shared" si="88"/>
        <v>81.83017386</v>
      </c>
      <c r="Q63" s="4" t="s">
        <v>45</v>
      </c>
      <c r="R63" s="54">
        <f t="shared" ref="R63:W63" si="89">J63/4</f>
        <v>0.38125</v>
      </c>
      <c r="S63" s="42">
        <f t="shared" si="89"/>
        <v>15.25</v>
      </c>
      <c r="T63" s="42">
        <f t="shared" si="89"/>
        <v>16.6225</v>
      </c>
      <c r="U63" s="42">
        <f t="shared" si="89"/>
        <v>17.9523</v>
      </c>
      <c r="V63" s="42">
        <f t="shared" si="89"/>
        <v>19.208961</v>
      </c>
      <c r="W63" s="42">
        <f t="shared" si="89"/>
        <v>20.45754347</v>
      </c>
    </row>
    <row r="64" ht="15.75" customHeight="1">
      <c r="A64" s="4" t="s">
        <v>46</v>
      </c>
      <c r="B64" s="37">
        <v>3.2</v>
      </c>
      <c r="C64" s="50">
        <v>112.0</v>
      </c>
      <c r="D64" s="51">
        <f t="shared" ref="D64:G64" si="90">C64*(1+E$5)</f>
        <v>122.08</v>
      </c>
      <c r="E64" s="51">
        <f t="shared" si="90"/>
        <v>131.8464</v>
      </c>
      <c r="F64" s="51">
        <f t="shared" si="90"/>
        <v>141.075648</v>
      </c>
      <c r="G64" s="51">
        <f t="shared" si="90"/>
        <v>150.2455651</v>
      </c>
      <c r="I64" s="4" t="s">
        <v>46</v>
      </c>
      <c r="J64" s="54">
        <f t="shared" ref="J64:O64" si="91">B64/4</f>
        <v>0.8</v>
      </c>
      <c r="K64" s="42">
        <f t="shared" si="91"/>
        <v>28</v>
      </c>
      <c r="L64" s="42">
        <f t="shared" si="91"/>
        <v>30.52</v>
      </c>
      <c r="M64" s="42">
        <f t="shared" si="91"/>
        <v>32.9616</v>
      </c>
      <c r="N64" s="42">
        <f t="shared" si="91"/>
        <v>35.268912</v>
      </c>
      <c r="O64" s="42">
        <f t="shared" si="91"/>
        <v>37.56139128</v>
      </c>
      <c r="Q64" s="4" t="s">
        <v>46</v>
      </c>
      <c r="R64" s="54">
        <f t="shared" ref="R64:W64" si="92">J64/4</f>
        <v>0.2</v>
      </c>
      <c r="S64" s="42">
        <f t="shared" si="92"/>
        <v>7</v>
      </c>
      <c r="T64" s="42">
        <f t="shared" si="92"/>
        <v>7.63</v>
      </c>
      <c r="U64" s="42">
        <f t="shared" si="92"/>
        <v>8.2404</v>
      </c>
      <c r="V64" s="42">
        <f t="shared" si="92"/>
        <v>8.817228</v>
      </c>
      <c r="W64" s="42">
        <f t="shared" si="92"/>
        <v>9.39034782</v>
      </c>
    </row>
    <row r="65" ht="15.75" customHeight="1">
      <c r="A65" s="4" t="s">
        <v>59</v>
      </c>
      <c r="B65" s="37">
        <v>2.6</v>
      </c>
      <c r="C65" s="50">
        <v>3120.0</v>
      </c>
      <c r="D65" s="51">
        <f t="shared" ref="D65:G65" si="93">C65*(1+E$6+$B$9)</f>
        <v>3394.56</v>
      </c>
      <c r="E65" s="51">
        <f t="shared" si="93"/>
        <v>3686.49216</v>
      </c>
      <c r="F65" s="51">
        <f t="shared" si="93"/>
        <v>3999.843994</v>
      </c>
      <c r="G65" s="51">
        <f t="shared" si="93"/>
        <v>4339.830733</v>
      </c>
      <c r="I65" s="4" t="s">
        <v>59</v>
      </c>
      <c r="J65" s="54">
        <f t="shared" ref="J65:O65" si="94">B65/4</f>
        <v>0.65</v>
      </c>
      <c r="K65" s="42">
        <f t="shared" si="94"/>
        <v>780</v>
      </c>
      <c r="L65" s="42">
        <f t="shared" si="94"/>
        <v>848.64</v>
      </c>
      <c r="M65" s="42">
        <f t="shared" si="94"/>
        <v>921.62304</v>
      </c>
      <c r="N65" s="42">
        <f t="shared" si="94"/>
        <v>999.9609984</v>
      </c>
      <c r="O65" s="42">
        <f t="shared" si="94"/>
        <v>1084.957683</v>
      </c>
      <c r="Q65" s="4" t="s">
        <v>59</v>
      </c>
      <c r="R65" s="54">
        <f t="shared" ref="R65:W65" si="95">J65/4</f>
        <v>0.1625</v>
      </c>
      <c r="S65" s="42">
        <f t="shared" si="95"/>
        <v>195</v>
      </c>
      <c r="T65" s="42">
        <f t="shared" si="95"/>
        <v>212.16</v>
      </c>
      <c r="U65" s="42">
        <f t="shared" si="95"/>
        <v>230.40576</v>
      </c>
      <c r="V65" s="42">
        <f t="shared" si="95"/>
        <v>249.9902496</v>
      </c>
      <c r="W65" s="42">
        <f t="shared" si="95"/>
        <v>271.2394208</v>
      </c>
    </row>
    <row r="66" ht="15.75" customHeight="1">
      <c r="A66" s="55" t="s">
        <v>54</v>
      </c>
      <c r="B66" s="56">
        <v>0.1</v>
      </c>
      <c r="C66" s="50">
        <v>100.0</v>
      </c>
      <c r="D66" s="51">
        <f t="shared" ref="D66:G66" si="96">C66*(1+E$6+$B$9)</f>
        <v>108.8</v>
      </c>
      <c r="E66" s="51">
        <f t="shared" si="96"/>
        <v>118.1568</v>
      </c>
      <c r="F66" s="51">
        <f t="shared" si="96"/>
        <v>128.200128</v>
      </c>
      <c r="G66" s="51">
        <f t="shared" si="96"/>
        <v>139.0971389</v>
      </c>
      <c r="I66" s="55" t="s">
        <v>54</v>
      </c>
      <c r="J66" s="54">
        <f t="shared" ref="J66:O66" si="97">B66/4</f>
        <v>0.025</v>
      </c>
      <c r="K66" s="42">
        <f t="shared" si="97"/>
        <v>25</v>
      </c>
      <c r="L66" s="42">
        <f t="shared" si="97"/>
        <v>27.2</v>
      </c>
      <c r="M66" s="42">
        <f t="shared" si="97"/>
        <v>29.5392</v>
      </c>
      <c r="N66" s="42">
        <f t="shared" si="97"/>
        <v>32.050032</v>
      </c>
      <c r="O66" s="42">
        <f t="shared" si="97"/>
        <v>34.77428472</v>
      </c>
      <c r="Q66" s="55" t="s">
        <v>54</v>
      </c>
      <c r="R66" s="54">
        <f t="shared" ref="R66:W66" si="98">J66/4</f>
        <v>0.00625</v>
      </c>
      <c r="S66" s="42">
        <f t="shared" si="98"/>
        <v>6.25</v>
      </c>
      <c r="T66" s="42">
        <f t="shared" si="98"/>
        <v>6.8</v>
      </c>
      <c r="U66" s="42">
        <f t="shared" si="98"/>
        <v>7.3848</v>
      </c>
      <c r="V66" s="42">
        <f t="shared" si="98"/>
        <v>8.012508</v>
      </c>
      <c r="W66" s="42">
        <f t="shared" si="98"/>
        <v>8.69357118</v>
      </c>
    </row>
    <row r="67" ht="15.75" customHeight="1">
      <c r="A67" s="4" t="s">
        <v>60</v>
      </c>
      <c r="B67" s="57">
        <v>0.16</v>
      </c>
      <c r="C67" s="50">
        <v>160.0</v>
      </c>
      <c r="D67" s="51">
        <f t="shared" ref="D67:G67" si="99">C67*(1+E$6+$B$9)</f>
        <v>174.08</v>
      </c>
      <c r="E67" s="51">
        <f t="shared" si="99"/>
        <v>189.05088</v>
      </c>
      <c r="F67" s="51">
        <f t="shared" si="99"/>
        <v>205.1202048</v>
      </c>
      <c r="G67" s="51">
        <f t="shared" si="99"/>
        <v>222.5554222</v>
      </c>
      <c r="I67" s="4" t="s">
        <v>60</v>
      </c>
      <c r="J67" s="54">
        <f t="shared" ref="J67:O67" si="100">B67/4</f>
        <v>0.04</v>
      </c>
      <c r="K67" s="42">
        <f t="shared" si="100"/>
        <v>40</v>
      </c>
      <c r="L67" s="42">
        <f t="shared" si="100"/>
        <v>43.52</v>
      </c>
      <c r="M67" s="42">
        <f t="shared" si="100"/>
        <v>47.26272</v>
      </c>
      <c r="N67" s="42">
        <f t="shared" si="100"/>
        <v>51.2800512</v>
      </c>
      <c r="O67" s="42">
        <f t="shared" si="100"/>
        <v>55.63885555</v>
      </c>
      <c r="Q67" s="4" t="s">
        <v>60</v>
      </c>
      <c r="R67" s="54">
        <f t="shared" ref="R67:W67" si="101">J67/4</f>
        <v>0.01</v>
      </c>
      <c r="S67" s="42">
        <f t="shared" si="101"/>
        <v>10</v>
      </c>
      <c r="T67" s="42">
        <f t="shared" si="101"/>
        <v>10.88</v>
      </c>
      <c r="U67" s="42">
        <f t="shared" si="101"/>
        <v>11.81568</v>
      </c>
      <c r="V67" s="42">
        <f t="shared" si="101"/>
        <v>12.8200128</v>
      </c>
      <c r="W67" s="42">
        <f t="shared" si="101"/>
        <v>13.90971389</v>
      </c>
    </row>
    <row r="68" ht="15.75" customHeight="1">
      <c r="A68" s="4" t="s">
        <v>61</v>
      </c>
      <c r="B68" s="57">
        <v>2.2</v>
      </c>
      <c r="C68" s="50">
        <v>1540.0</v>
      </c>
      <c r="D68" s="51">
        <f t="shared" ref="D68:G68" si="102">C68*(1+E$6+$B$9)</f>
        <v>1675.52</v>
      </c>
      <c r="E68" s="51">
        <f t="shared" si="102"/>
        <v>1819.61472</v>
      </c>
      <c r="F68" s="51">
        <f t="shared" si="102"/>
        <v>1974.281971</v>
      </c>
      <c r="G68" s="51">
        <f t="shared" si="102"/>
        <v>2142.095939</v>
      </c>
      <c r="I68" s="4" t="s">
        <v>61</v>
      </c>
      <c r="J68" s="54">
        <f t="shared" ref="J68:O68" si="103">B68/4</f>
        <v>0.55</v>
      </c>
      <c r="K68" s="42">
        <f t="shared" si="103"/>
        <v>385</v>
      </c>
      <c r="L68" s="42">
        <f t="shared" si="103"/>
        <v>418.88</v>
      </c>
      <c r="M68" s="42">
        <f t="shared" si="103"/>
        <v>454.90368</v>
      </c>
      <c r="N68" s="42">
        <f t="shared" si="103"/>
        <v>493.5704928</v>
      </c>
      <c r="O68" s="42">
        <f t="shared" si="103"/>
        <v>535.5239847</v>
      </c>
      <c r="Q68" s="4" t="s">
        <v>61</v>
      </c>
      <c r="R68" s="54">
        <f t="shared" ref="R68:W68" si="104">J68/4</f>
        <v>0.1375</v>
      </c>
      <c r="S68" s="42">
        <f t="shared" si="104"/>
        <v>96.25</v>
      </c>
      <c r="T68" s="42">
        <f t="shared" si="104"/>
        <v>104.72</v>
      </c>
      <c r="U68" s="42">
        <f t="shared" si="104"/>
        <v>113.72592</v>
      </c>
      <c r="V68" s="42">
        <f t="shared" si="104"/>
        <v>123.3926232</v>
      </c>
      <c r="W68" s="42">
        <f t="shared" si="104"/>
        <v>133.8809962</v>
      </c>
    </row>
    <row r="69" ht="15.75" customHeight="1">
      <c r="A69" s="43" t="str">
        <f>A60</f>
        <v>Total Material Cost</v>
      </c>
      <c r="C69" s="44">
        <f t="shared" ref="C69:G69" si="105">SUM(C63:C68)</f>
        <v>5276</v>
      </c>
      <c r="D69" s="45">
        <f t="shared" si="105"/>
        <v>5741</v>
      </c>
      <c r="E69" s="45">
        <f t="shared" si="105"/>
        <v>6232.39776</v>
      </c>
      <c r="F69" s="45">
        <f t="shared" si="105"/>
        <v>6755.865322</v>
      </c>
      <c r="G69" s="45">
        <f t="shared" si="105"/>
        <v>7321.145493</v>
      </c>
      <c r="I69" s="43" t="str">
        <f>I60</f>
        <v>Total Material Cost</v>
      </c>
      <c r="K69" s="45">
        <f t="shared" ref="K69:O69" si="106">SUM(K63:K68)</f>
        <v>1319</v>
      </c>
      <c r="L69" s="45">
        <f t="shared" si="106"/>
        <v>1435.25</v>
      </c>
      <c r="M69" s="45">
        <f t="shared" si="106"/>
        <v>1558.09944</v>
      </c>
      <c r="N69" s="45">
        <f t="shared" si="106"/>
        <v>1688.96633</v>
      </c>
      <c r="O69" s="45">
        <f t="shared" si="106"/>
        <v>1830.286373</v>
      </c>
      <c r="Q69" s="43" t="str">
        <f>Q60</f>
        <v>Total Material Cost</v>
      </c>
      <c r="S69" s="45">
        <f t="shared" ref="S69:W69" si="107">SUM(S63:S68)</f>
        <v>329.75</v>
      </c>
      <c r="T69" s="45">
        <f t="shared" si="107"/>
        <v>358.8125</v>
      </c>
      <c r="U69" s="45">
        <f t="shared" si="107"/>
        <v>389.52486</v>
      </c>
      <c r="V69" s="45">
        <f t="shared" si="107"/>
        <v>422.2415826</v>
      </c>
      <c r="W69" s="45">
        <f t="shared" si="107"/>
        <v>457.5715933</v>
      </c>
    </row>
    <row r="70" ht="15.75" customHeight="1"/>
    <row r="71" ht="15.75" customHeight="1">
      <c r="A71" s="43" t="s">
        <v>62</v>
      </c>
      <c r="B71" s="36" t="str">
        <f t="shared" ref="B71:G71" si="108">B62</f>
        <v>units</v>
      </c>
      <c r="C71" s="36" t="str">
        <f t="shared" si="108"/>
        <v>2026 PKR per drummi </v>
      </c>
      <c r="D71" s="36">
        <f t="shared" si="108"/>
        <v>2027</v>
      </c>
      <c r="E71" s="36">
        <f t="shared" si="108"/>
        <v>2028</v>
      </c>
      <c r="F71" s="36">
        <f t="shared" si="108"/>
        <v>2029</v>
      </c>
      <c r="G71" s="36">
        <f t="shared" si="108"/>
        <v>2030</v>
      </c>
      <c r="I71" s="43" t="s">
        <v>62</v>
      </c>
      <c r="J71" s="36" t="str">
        <f t="shared" ref="J71:O71" si="109">J62</f>
        <v>units</v>
      </c>
      <c r="K71" s="36" t="str">
        <f t="shared" si="109"/>
        <v>2026 PKR per gallon</v>
      </c>
      <c r="L71" s="36">
        <f t="shared" si="109"/>
        <v>2027</v>
      </c>
      <c r="M71" s="36">
        <f t="shared" si="109"/>
        <v>2028</v>
      </c>
      <c r="N71" s="36">
        <f t="shared" si="109"/>
        <v>2029</v>
      </c>
      <c r="O71" s="36">
        <f t="shared" si="109"/>
        <v>2030</v>
      </c>
      <c r="Q71" s="43" t="s">
        <v>62</v>
      </c>
      <c r="R71" s="36" t="str">
        <f t="shared" ref="R71:W71" si="110">R62</f>
        <v>units</v>
      </c>
      <c r="S71" s="36" t="str">
        <f t="shared" si="110"/>
        <v>2026 PKR per Litre</v>
      </c>
      <c r="T71" s="36">
        <f t="shared" si="110"/>
        <v>2027</v>
      </c>
      <c r="U71" s="36">
        <f t="shared" si="110"/>
        <v>2028</v>
      </c>
      <c r="V71" s="36">
        <f t="shared" si="110"/>
        <v>2029</v>
      </c>
      <c r="W71" s="36">
        <f t="shared" si="110"/>
        <v>2030</v>
      </c>
    </row>
    <row r="72" ht="15.75" customHeight="1">
      <c r="A72" s="58" t="s">
        <v>45</v>
      </c>
      <c r="B72" s="37">
        <v>8.0</v>
      </c>
      <c r="C72" s="50">
        <v>320.0</v>
      </c>
      <c r="D72" s="51">
        <f t="shared" ref="D72:G72" si="111">C72*(1+E$5)</f>
        <v>348.8</v>
      </c>
      <c r="E72" s="51">
        <f t="shared" si="111"/>
        <v>376.704</v>
      </c>
      <c r="F72" s="51">
        <f t="shared" si="111"/>
        <v>403.07328</v>
      </c>
      <c r="G72" s="51">
        <f t="shared" si="111"/>
        <v>429.2730432</v>
      </c>
      <c r="I72" s="58" t="s">
        <v>45</v>
      </c>
      <c r="J72" s="54">
        <f t="shared" ref="J72:O72" si="112">B72/4</f>
        <v>2</v>
      </c>
      <c r="K72" s="42">
        <f t="shared" si="112"/>
        <v>80</v>
      </c>
      <c r="L72" s="42">
        <f t="shared" si="112"/>
        <v>87.2</v>
      </c>
      <c r="M72" s="42">
        <f t="shared" si="112"/>
        <v>94.176</v>
      </c>
      <c r="N72" s="42">
        <f t="shared" si="112"/>
        <v>100.76832</v>
      </c>
      <c r="O72" s="42">
        <f t="shared" si="112"/>
        <v>107.3182608</v>
      </c>
      <c r="Q72" s="58" t="s">
        <v>45</v>
      </c>
      <c r="R72" s="54">
        <f t="shared" ref="R72:W72" si="113">J72/4</f>
        <v>0.5</v>
      </c>
      <c r="S72" s="42">
        <f t="shared" si="113"/>
        <v>20</v>
      </c>
      <c r="T72" s="42">
        <f t="shared" si="113"/>
        <v>21.8</v>
      </c>
      <c r="U72" s="42">
        <f t="shared" si="113"/>
        <v>23.544</v>
      </c>
      <c r="V72" s="42">
        <f t="shared" si="113"/>
        <v>25.19208</v>
      </c>
      <c r="W72" s="42">
        <f t="shared" si="113"/>
        <v>26.8295652</v>
      </c>
    </row>
    <row r="73" ht="15.75" customHeight="1">
      <c r="A73" s="58" t="s">
        <v>46</v>
      </c>
      <c r="B73" s="37">
        <v>5.6</v>
      </c>
      <c r="C73" s="50">
        <v>196.0</v>
      </c>
      <c r="D73" s="51">
        <f t="shared" ref="D73:G73" si="114">C73*(1+E$5)</f>
        <v>213.64</v>
      </c>
      <c r="E73" s="51">
        <f t="shared" si="114"/>
        <v>230.7312</v>
      </c>
      <c r="F73" s="51">
        <f t="shared" si="114"/>
        <v>246.882384</v>
      </c>
      <c r="G73" s="51">
        <f t="shared" si="114"/>
        <v>262.929739</v>
      </c>
      <c r="I73" s="58" t="s">
        <v>46</v>
      </c>
      <c r="J73" s="54">
        <f t="shared" ref="J73:O73" si="115">B73/4</f>
        <v>1.4</v>
      </c>
      <c r="K73" s="42">
        <f t="shared" si="115"/>
        <v>49</v>
      </c>
      <c r="L73" s="42">
        <f t="shared" si="115"/>
        <v>53.41</v>
      </c>
      <c r="M73" s="42">
        <f t="shared" si="115"/>
        <v>57.6828</v>
      </c>
      <c r="N73" s="42">
        <f t="shared" si="115"/>
        <v>61.720596</v>
      </c>
      <c r="O73" s="42">
        <f t="shared" si="115"/>
        <v>65.73243474</v>
      </c>
      <c r="Q73" s="58" t="s">
        <v>46</v>
      </c>
      <c r="R73" s="54">
        <f t="shared" ref="R73:W73" si="116">J73/4</f>
        <v>0.35</v>
      </c>
      <c r="S73" s="42">
        <f t="shared" si="116"/>
        <v>12.25</v>
      </c>
      <c r="T73" s="42">
        <f t="shared" si="116"/>
        <v>13.3525</v>
      </c>
      <c r="U73" s="42">
        <f t="shared" si="116"/>
        <v>14.4207</v>
      </c>
      <c r="V73" s="42">
        <f t="shared" si="116"/>
        <v>15.430149</v>
      </c>
      <c r="W73" s="42">
        <f t="shared" si="116"/>
        <v>16.43310869</v>
      </c>
    </row>
    <row r="74" ht="15.75" customHeight="1">
      <c r="A74" s="58" t="s">
        <v>47</v>
      </c>
      <c r="B74" s="37">
        <v>1.3</v>
      </c>
      <c r="C74" s="50">
        <v>1560.0</v>
      </c>
      <c r="D74" s="51">
        <f t="shared" ref="D74:G74" si="117">C74*(1+E$6+$B$9)</f>
        <v>1697.28</v>
      </c>
      <c r="E74" s="51">
        <f t="shared" si="117"/>
        <v>1843.24608</v>
      </c>
      <c r="F74" s="51">
        <f t="shared" si="117"/>
        <v>1999.921997</v>
      </c>
      <c r="G74" s="51">
        <f t="shared" si="117"/>
        <v>2169.915367</v>
      </c>
      <c r="I74" s="58" t="s">
        <v>47</v>
      </c>
      <c r="J74" s="54">
        <f t="shared" ref="J74:O74" si="118">B74/4</f>
        <v>0.325</v>
      </c>
      <c r="K74" s="42">
        <f t="shared" si="118"/>
        <v>390</v>
      </c>
      <c r="L74" s="42">
        <f t="shared" si="118"/>
        <v>424.32</v>
      </c>
      <c r="M74" s="42">
        <f t="shared" si="118"/>
        <v>460.81152</v>
      </c>
      <c r="N74" s="42">
        <f t="shared" si="118"/>
        <v>499.9804992</v>
      </c>
      <c r="O74" s="42">
        <f t="shared" si="118"/>
        <v>542.4788416</v>
      </c>
      <c r="Q74" s="58" t="s">
        <v>47</v>
      </c>
      <c r="R74" s="54">
        <f t="shared" ref="R74:W74" si="119">J74/4</f>
        <v>0.08125</v>
      </c>
      <c r="S74" s="42">
        <f t="shared" si="119"/>
        <v>97.5</v>
      </c>
      <c r="T74" s="42">
        <f t="shared" si="119"/>
        <v>106.08</v>
      </c>
      <c r="U74" s="42">
        <f t="shared" si="119"/>
        <v>115.20288</v>
      </c>
      <c r="V74" s="42">
        <f t="shared" si="119"/>
        <v>124.9951248</v>
      </c>
      <c r="W74" s="42">
        <f t="shared" si="119"/>
        <v>135.6197104</v>
      </c>
    </row>
    <row r="75" ht="15.75" customHeight="1">
      <c r="A75" s="58" t="s">
        <v>48</v>
      </c>
      <c r="B75" s="37">
        <v>1.1</v>
      </c>
      <c r="C75" s="50">
        <v>715.0</v>
      </c>
      <c r="D75" s="51">
        <f t="shared" ref="D75:G75" si="120">C75*(1+E$5)</f>
        <v>779.35</v>
      </c>
      <c r="E75" s="51">
        <f t="shared" si="120"/>
        <v>841.698</v>
      </c>
      <c r="F75" s="51">
        <f t="shared" si="120"/>
        <v>900.61686</v>
      </c>
      <c r="G75" s="51">
        <f t="shared" si="120"/>
        <v>959.1569559</v>
      </c>
      <c r="I75" s="58" t="s">
        <v>48</v>
      </c>
      <c r="J75" s="54">
        <f t="shared" ref="J75:O75" si="121">B75/4</f>
        <v>0.275</v>
      </c>
      <c r="K75" s="42">
        <f t="shared" si="121"/>
        <v>178.75</v>
      </c>
      <c r="L75" s="42">
        <f t="shared" si="121"/>
        <v>194.8375</v>
      </c>
      <c r="M75" s="42">
        <f t="shared" si="121"/>
        <v>210.4245</v>
      </c>
      <c r="N75" s="42">
        <f t="shared" si="121"/>
        <v>225.154215</v>
      </c>
      <c r="O75" s="42">
        <f t="shared" si="121"/>
        <v>239.789239</v>
      </c>
      <c r="Q75" s="58" t="s">
        <v>48</v>
      </c>
      <c r="R75" s="54">
        <f t="shared" ref="R75:W75" si="122">J75/4</f>
        <v>0.06875</v>
      </c>
      <c r="S75" s="42">
        <f t="shared" si="122"/>
        <v>44.6875</v>
      </c>
      <c r="T75" s="42">
        <f t="shared" si="122"/>
        <v>48.709375</v>
      </c>
      <c r="U75" s="42">
        <f t="shared" si="122"/>
        <v>52.606125</v>
      </c>
      <c r="V75" s="42">
        <f t="shared" si="122"/>
        <v>56.28855375</v>
      </c>
      <c r="W75" s="42">
        <f t="shared" si="122"/>
        <v>59.94730974</v>
      </c>
    </row>
    <row r="76" ht="15.75" customHeight="1">
      <c r="A76" s="58" t="s">
        <v>49</v>
      </c>
      <c r="B76" s="56">
        <v>0.12</v>
      </c>
      <c r="C76" s="50">
        <v>120.0</v>
      </c>
      <c r="D76" s="51">
        <f t="shared" ref="D76:G76" si="123">C76*(1+E$5)</f>
        <v>130.8</v>
      </c>
      <c r="E76" s="51">
        <f t="shared" si="123"/>
        <v>141.264</v>
      </c>
      <c r="F76" s="51">
        <f t="shared" si="123"/>
        <v>151.15248</v>
      </c>
      <c r="G76" s="51">
        <f t="shared" si="123"/>
        <v>160.9773912</v>
      </c>
      <c r="I76" s="58" t="s">
        <v>49</v>
      </c>
      <c r="J76" s="54">
        <f t="shared" ref="J76:O76" si="124">B76/4</f>
        <v>0.03</v>
      </c>
      <c r="K76" s="42">
        <f t="shared" si="124"/>
        <v>30</v>
      </c>
      <c r="L76" s="42">
        <f t="shared" si="124"/>
        <v>32.7</v>
      </c>
      <c r="M76" s="42">
        <f t="shared" si="124"/>
        <v>35.316</v>
      </c>
      <c r="N76" s="42">
        <f t="shared" si="124"/>
        <v>37.78812</v>
      </c>
      <c r="O76" s="42">
        <f t="shared" si="124"/>
        <v>40.2443478</v>
      </c>
      <c r="Q76" s="58" t="s">
        <v>49</v>
      </c>
      <c r="R76" s="54">
        <f t="shared" ref="R76:W76" si="125">J76/4</f>
        <v>0.0075</v>
      </c>
      <c r="S76" s="42">
        <f t="shared" si="125"/>
        <v>7.5</v>
      </c>
      <c r="T76" s="42">
        <f t="shared" si="125"/>
        <v>8.175</v>
      </c>
      <c r="U76" s="42">
        <f t="shared" si="125"/>
        <v>8.829</v>
      </c>
      <c r="V76" s="42">
        <f t="shared" si="125"/>
        <v>9.44703</v>
      </c>
      <c r="W76" s="42">
        <f t="shared" si="125"/>
        <v>10.06108695</v>
      </c>
    </row>
    <row r="77" ht="15.75" customHeight="1">
      <c r="A77" s="43" t="str">
        <f>A85</f>
        <v>Total Material Cost</v>
      </c>
      <c r="C77" s="44">
        <f t="shared" ref="C77:G77" si="126">SUM(C72:C76)</f>
        <v>2911</v>
      </c>
      <c r="D77" s="59">
        <f t="shared" si="126"/>
        <v>3169.87</v>
      </c>
      <c r="E77" s="59">
        <f t="shared" si="126"/>
        <v>3433.64328</v>
      </c>
      <c r="F77" s="59">
        <f t="shared" si="126"/>
        <v>3701.647001</v>
      </c>
      <c r="G77" s="59">
        <f t="shared" si="126"/>
        <v>3982.252496</v>
      </c>
      <c r="I77" s="43" t="str">
        <f>I85</f>
        <v>Total Material Cost</v>
      </c>
      <c r="K77" s="45">
        <f t="shared" ref="K77:O77" si="127">SUM(K72:K76)</f>
        <v>727.75</v>
      </c>
      <c r="L77" s="45">
        <f t="shared" si="127"/>
        <v>792.4675</v>
      </c>
      <c r="M77" s="45">
        <f t="shared" si="127"/>
        <v>858.41082</v>
      </c>
      <c r="N77" s="45">
        <f t="shared" si="127"/>
        <v>925.4117502</v>
      </c>
      <c r="O77" s="45">
        <f t="shared" si="127"/>
        <v>995.5631239</v>
      </c>
      <c r="Q77" s="43" t="str">
        <f>Q85</f>
        <v>Total Material Cost</v>
      </c>
      <c r="S77" s="45">
        <f t="shared" ref="S77:W77" si="128">SUM(S72:S76)</f>
        <v>181.9375</v>
      </c>
      <c r="T77" s="45">
        <f t="shared" si="128"/>
        <v>198.116875</v>
      </c>
      <c r="U77" s="45">
        <f t="shared" si="128"/>
        <v>214.602705</v>
      </c>
      <c r="V77" s="45">
        <f t="shared" si="128"/>
        <v>231.3529376</v>
      </c>
      <c r="W77" s="45">
        <f t="shared" si="128"/>
        <v>248.890781</v>
      </c>
    </row>
    <row r="78" ht="15.75" customHeight="1">
      <c r="D78" s="60"/>
      <c r="E78" s="60"/>
      <c r="F78" s="60"/>
      <c r="G78" s="60"/>
    </row>
    <row r="79" ht="15.75" customHeight="1">
      <c r="A79" s="43" t="s">
        <v>63</v>
      </c>
      <c r="B79" s="36" t="str">
        <f t="shared" ref="B79:G79" si="129">B71</f>
        <v>units</v>
      </c>
      <c r="C79" s="36" t="str">
        <f t="shared" si="129"/>
        <v>2026 PKR per drummi </v>
      </c>
      <c r="D79" s="61">
        <f t="shared" si="129"/>
        <v>2027</v>
      </c>
      <c r="E79" s="61">
        <f t="shared" si="129"/>
        <v>2028</v>
      </c>
      <c r="F79" s="61">
        <f t="shared" si="129"/>
        <v>2029</v>
      </c>
      <c r="G79" s="61">
        <f t="shared" si="129"/>
        <v>2030</v>
      </c>
      <c r="I79" s="43" t="s">
        <v>63</v>
      </c>
      <c r="J79" s="36" t="str">
        <f t="shared" ref="J79:O79" si="130">J71</f>
        <v>units</v>
      </c>
      <c r="K79" s="36" t="str">
        <f t="shared" si="130"/>
        <v>2026 PKR per gallon</v>
      </c>
      <c r="L79" s="36">
        <f t="shared" si="130"/>
        <v>2027</v>
      </c>
      <c r="M79" s="36">
        <f t="shared" si="130"/>
        <v>2028</v>
      </c>
      <c r="N79" s="36">
        <f t="shared" si="130"/>
        <v>2029</v>
      </c>
      <c r="O79" s="36">
        <f t="shared" si="130"/>
        <v>2030</v>
      </c>
      <c r="Q79" s="43" t="s">
        <v>63</v>
      </c>
      <c r="R79" s="36" t="str">
        <f t="shared" ref="R79:W79" si="131">R71</f>
        <v>units</v>
      </c>
      <c r="S79" s="36" t="str">
        <f t="shared" si="131"/>
        <v>2026 PKR per Litre</v>
      </c>
      <c r="T79" s="36">
        <f t="shared" si="131"/>
        <v>2027</v>
      </c>
      <c r="U79" s="36">
        <f t="shared" si="131"/>
        <v>2028</v>
      </c>
      <c r="V79" s="36">
        <f t="shared" si="131"/>
        <v>2029</v>
      </c>
      <c r="W79" s="36">
        <f t="shared" si="131"/>
        <v>2030</v>
      </c>
    </row>
    <row r="80" ht="15.75" customHeight="1">
      <c r="A80" s="55" t="s">
        <v>47</v>
      </c>
      <c r="B80" s="50">
        <v>2.3</v>
      </c>
      <c r="C80" s="50">
        <v>2760.0</v>
      </c>
      <c r="D80" s="51">
        <f t="shared" ref="D80:G80" si="132">C80*(1+E$6+$B$9)</f>
        <v>3002.88</v>
      </c>
      <c r="E80" s="51">
        <f t="shared" si="132"/>
        <v>3261.12768</v>
      </c>
      <c r="F80" s="51">
        <f t="shared" si="132"/>
        <v>3538.323533</v>
      </c>
      <c r="G80" s="51">
        <f t="shared" si="132"/>
        <v>3839.081033</v>
      </c>
      <c r="I80" s="55" t="s">
        <v>47</v>
      </c>
      <c r="J80" s="51">
        <f t="shared" ref="J80:N80" si="133">B80/4</f>
        <v>0.575</v>
      </c>
      <c r="K80" s="51">
        <f t="shared" si="133"/>
        <v>690</v>
      </c>
      <c r="L80" s="51">
        <f t="shared" si="133"/>
        <v>750.72</v>
      </c>
      <c r="M80" s="51">
        <f t="shared" si="133"/>
        <v>815.28192</v>
      </c>
      <c r="N80" s="51">
        <f t="shared" si="133"/>
        <v>884.5808832</v>
      </c>
      <c r="O80" s="51">
        <f>N80*(1+P$6+$B$9)</f>
        <v>937.6557362</v>
      </c>
      <c r="Q80" s="55" t="s">
        <v>47</v>
      </c>
      <c r="R80" s="51">
        <f t="shared" ref="R80:V80" si="134">J80/4</f>
        <v>0.14375</v>
      </c>
      <c r="S80" s="51">
        <f t="shared" si="134"/>
        <v>172.5</v>
      </c>
      <c r="T80" s="51">
        <f t="shared" si="134"/>
        <v>187.68</v>
      </c>
      <c r="U80" s="51">
        <f t="shared" si="134"/>
        <v>203.82048</v>
      </c>
      <c r="V80" s="51">
        <f t="shared" si="134"/>
        <v>221.1452208</v>
      </c>
      <c r="W80" s="51">
        <f>V80*(1+X$6+$B$9)</f>
        <v>234.413934</v>
      </c>
    </row>
    <row r="81" ht="15.75" customHeight="1">
      <c r="A81" s="4" t="s">
        <v>49</v>
      </c>
      <c r="B81" s="50">
        <v>0.2</v>
      </c>
      <c r="C81" s="50">
        <v>200.0</v>
      </c>
      <c r="D81" s="51">
        <f t="shared" ref="D81:G81" si="135">C81*(1+$D$5)</f>
        <v>220</v>
      </c>
      <c r="E81" s="51">
        <f t="shared" si="135"/>
        <v>242</v>
      </c>
      <c r="F81" s="51">
        <f t="shared" si="135"/>
        <v>266.2</v>
      </c>
      <c r="G81" s="51">
        <f t="shared" si="135"/>
        <v>292.82</v>
      </c>
      <c r="I81" s="4" t="s">
        <v>49</v>
      </c>
      <c r="J81" s="51">
        <f t="shared" ref="J81:N81" si="136">B81/4</f>
        <v>0.05</v>
      </c>
      <c r="K81" s="51">
        <f t="shared" si="136"/>
        <v>50</v>
      </c>
      <c r="L81" s="51">
        <f t="shared" si="136"/>
        <v>55</v>
      </c>
      <c r="M81" s="51">
        <f t="shared" si="136"/>
        <v>60.5</v>
      </c>
      <c r="N81" s="51">
        <f t="shared" si="136"/>
        <v>66.55</v>
      </c>
      <c r="O81" s="51">
        <f>N81*(1+$D$5)</f>
        <v>73.205</v>
      </c>
      <c r="Q81" s="4" t="s">
        <v>49</v>
      </c>
      <c r="R81" s="51">
        <f t="shared" ref="R81:V81" si="137">J81/4</f>
        <v>0.0125</v>
      </c>
      <c r="S81" s="51">
        <f t="shared" si="137"/>
        <v>12.5</v>
      </c>
      <c r="T81" s="51">
        <f t="shared" si="137"/>
        <v>13.75</v>
      </c>
      <c r="U81" s="51">
        <f t="shared" si="137"/>
        <v>15.125</v>
      </c>
      <c r="V81" s="51">
        <f t="shared" si="137"/>
        <v>16.6375</v>
      </c>
      <c r="W81" s="51">
        <f>V81*(1+$D$5)</f>
        <v>18.30125</v>
      </c>
    </row>
    <row r="82" ht="15.75" customHeight="1">
      <c r="A82" s="4" t="s">
        <v>54</v>
      </c>
      <c r="B82" s="50">
        <v>0.15</v>
      </c>
      <c r="C82" s="50">
        <v>150.0</v>
      </c>
      <c r="D82" s="51">
        <f t="shared" ref="D82:G82" si="138">C82*(1+E$6+$B$9)</f>
        <v>163.2</v>
      </c>
      <c r="E82" s="51">
        <f t="shared" si="138"/>
        <v>177.2352</v>
      </c>
      <c r="F82" s="51">
        <f t="shared" si="138"/>
        <v>192.300192</v>
      </c>
      <c r="G82" s="51">
        <f t="shared" si="138"/>
        <v>208.6457083</v>
      </c>
      <c r="I82" s="4" t="s">
        <v>54</v>
      </c>
      <c r="J82" s="51">
        <f t="shared" ref="J82:N82" si="139">B82/4</f>
        <v>0.0375</v>
      </c>
      <c r="K82" s="51">
        <f t="shared" si="139"/>
        <v>37.5</v>
      </c>
      <c r="L82" s="51">
        <f t="shared" si="139"/>
        <v>40.8</v>
      </c>
      <c r="M82" s="51">
        <f t="shared" si="139"/>
        <v>44.3088</v>
      </c>
      <c r="N82" s="51">
        <f t="shared" si="139"/>
        <v>48.075048</v>
      </c>
      <c r="O82" s="51">
        <f t="shared" ref="O82:O84" si="143">N82*(1+P$6+$B$9)</f>
        <v>50.95955088</v>
      </c>
      <c r="Q82" s="4" t="s">
        <v>54</v>
      </c>
      <c r="R82" s="51">
        <f t="shared" ref="R82:V82" si="140">J82/4</f>
        <v>0.009375</v>
      </c>
      <c r="S82" s="51">
        <f t="shared" si="140"/>
        <v>9.375</v>
      </c>
      <c r="T82" s="51">
        <f t="shared" si="140"/>
        <v>10.2</v>
      </c>
      <c r="U82" s="51">
        <f t="shared" si="140"/>
        <v>11.0772</v>
      </c>
      <c r="V82" s="51">
        <f t="shared" si="140"/>
        <v>12.018762</v>
      </c>
      <c r="W82" s="51">
        <f t="shared" ref="W82:W84" si="145">V82*(1+X$6+$B$9)</f>
        <v>12.73988772</v>
      </c>
    </row>
    <row r="83" ht="15.75" customHeight="1">
      <c r="A83" s="4" t="s">
        <v>64</v>
      </c>
      <c r="B83" s="50">
        <v>5.6</v>
      </c>
      <c r="C83" s="50">
        <v>1680.0</v>
      </c>
      <c r="D83" s="51">
        <f t="shared" ref="D83:G83" si="141">C83*(1+E$6+$B$9)</f>
        <v>1827.84</v>
      </c>
      <c r="E83" s="51">
        <f t="shared" si="141"/>
        <v>1985.03424</v>
      </c>
      <c r="F83" s="51">
        <f t="shared" si="141"/>
        <v>2153.76215</v>
      </c>
      <c r="G83" s="51">
        <f t="shared" si="141"/>
        <v>2336.831933</v>
      </c>
      <c r="I83" s="4" t="s">
        <v>64</v>
      </c>
      <c r="J83" s="51">
        <f t="shared" ref="J83:N83" si="142">B83/4</f>
        <v>1.4</v>
      </c>
      <c r="K83" s="51">
        <f t="shared" si="142"/>
        <v>420</v>
      </c>
      <c r="L83" s="51">
        <f t="shared" si="142"/>
        <v>456.96</v>
      </c>
      <c r="M83" s="51">
        <f t="shared" si="142"/>
        <v>496.25856</v>
      </c>
      <c r="N83" s="51">
        <f t="shared" si="142"/>
        <v>538.4405376</v>
      </c>
      <c r="O83" s="51">
        <f t="shared" si="143"/>
        <v>570.7469699</v>
      </c>
      <c r="Q83" s="4" t="s">
        <v>64</v>
      </c>
      <c r="R83" s="51">
        <f t="shared" ref="R83:V83" si="144">J83/4</f>
        <v>0.35</v>
      </c>
      <c r="S83" s="51">
        <f t="shared" si="144"/>
        <v>105</v>
      </c>
      <c r="T83" s="51">
        <f t="shared" si="144"/>
        <v>114.24</v>
      </c>
      <c r="U83" s="51">
        <f t="shared" si="144"/>
        <v>124.06464</v>
      </c>
      <c r="V83" s="51">
        <f t="shared" si="144"/>
        <v>134.6101344</v>
      </c>
      <c r="W83" s="51">
        <f t="shared" si="145"/>
        <v>142.6867425</v>
      </c>
    </row>
    <row r="84" ht="15.75" customHeight="1">
      <c r="A84" s="4" t="s">
        <v>65</v>
      </c>
      <c r="B84" s="50">
        <v>4.8</v>
      </c>
      <c r="C84" s="50">
        <v>2880.0</v>
      </c>
      <c r="D84" s="51">
        <f t="shared" ref="D84:G84" si="146">C84*(1+E$6+$B$9)</f>
        <v>3133.44</v>
      </c>
      <c r="E84" s="51">
        <f t="shared" si="146"/>
        <v>3402.91584</v>
      </c>
      <c r="F84" s="51">
        <f t="shared" si="146"/>
        <v>3692.163686</v>
      </c>
      <c r="G84" s="51">
        <f t="shared" si="146"/>
        <v>4005.9976</v>
      </c>
      <c r="I84" s="4" t="s">
        <v>65</v>
      </c>
      <c r="J84" s="51">
        <f t="shared" ref="J84:N84" si="147">B84/4</f>
        <v>1.2</v>
      </c>
      <c r="K84" s="51">
        <f t="shared" si="147"/>
        <v>720</v>
      </c>
      <c r="L84" s="51">
        <f t="shared" si="147"/>
        <v>783.36</v>
      </c>
      <c r="M84" s="51">
        <f t="shared" si="147"/>
        <v>850.72896</v>
      </c>
      <c r="N84" s="51">
        <f t="shared" si="147"/>
        <v>923.0409216</v>
      </c>
      <c r="O84" s="51">
        <f t="shared" si="143"/>
        <v>978.4233769</v>
      </c>
      <c r="Q84" s="4" t="s">
        <v>65</v>
      </c>
      <c r="R84" s="51">
        <f t="shared" ref="R84:V84" si="148">J84/4</f>
        <v>0.3</v>
      </c>
      <c r="S84" s="51">
        <f t="shared" si="148"/>
        <v>180</v>
      </c>
      <c r="T84" s="51">
        <f t="shared" si="148"/>
        <v>195.84</v>
      </c>
      <c r="U84" s="51">
        <f t="shared" si="148"/>
        <v>212.68224</v>
      </c>
      <c r="V84" s="51">
        <f t="shared" si="148"/>
        <v>230.7602304</v>
      </c>
      <c r="W84" s="51">
        <f t="shared" si="145"/>
        <v>244.6058442</v>
      </c>
    </row>
    <row r="85" ht="15.75" customHeight="1">
      <c r="A85" s="43" t="str">
        <f>A69</f>
        <v>Total Material Cost</v>
      </c>
      <c r="C85" s="44">
        <f t="shared" ref="C85:G85" si="149">SUM(C80:C84)</f>
        <v>7670</v>
      </c>
      <c r="D85" s="45">
        <f t="shared" si="149"/>
        <v>8347.36</v>
      </c>
      <c r="E85" s="45">
        <f t="shared" si="149"/>
        <v>9068.31296</v>
      </c>
      <c r="F85" s="45">
        <f t="shared" si="149"/>
        <v>9842.749562</v>
      </c>
      <c r="G85" s="45">
        <f t="shared" si="149"/>
        <v>10683.37627</v>
      </c>
      <c r="I85" s="43" t="str">
        <f>I69</f>
        <v>Total Material Cost</v>
      </c>
      <c r="K85" s="45">
        <f t="shared" ref="K85:O85" si="150">SUM(K80:K84)</f>
        <v>1917.5</v>
      </c>
      <c r="L85" s="45">
        <f t="shared" si="150"/>
        <v>2086.84</v>
      </c>
      <c r="M85" s="45">
        <f t="shared" si="150"/>
        <v>2267.07824</v>
      </c>
      <c r="N85" s="45">
        <f t="shared" si="150"/>
        <v>2460.68739</v>
      </c>
      <c r="O85" s="45">
        <f t="shared" si="150"/>
        <v>2610.990634</v>
      </c>
      <c r="Q85" s="43" t="str">
        <f>Q69</f>
        <v>Total Material Cost</v>
      </c>
      <c r="S85" s="45">
        <f t="shared" ref="S85:W85" si="151">SUM(S80:S84)</f>
        <v>479.375</v>
      </c>
      <c r="T85" s="45">
        <f t="shared" si="151"/>
        <v>521.71</v>
      </c>
      <c r="U85" s="45">
        <f t="shared" si="151"/>
        <v>566.76956</v>
      </c>
      <c r="V85" s="45">
        <f t="shared" si="151"/>
        <v>615.1718476</v>
      </c>
      <c r="W85" s="45">
        <f t="shared" si="151"/>
        <v>652.7476585</v>
      </c>
    </row>
    <row r="86" ht="15.75" customHeight="1"/>
    <row r="87" ht="15.75" customHeight="1"/>
    <row r="88" ht="15.75" customHeight="1">
      <c r="A88" s="7" t="s">
        <v>66</v>
      </c>
      <c r="B88" s="3"/>
    </row>
    <row r="89" ht="15.75" customHeight="1">
      <c r="A89" s="3"/>
      <c r="B89" s="3"/>
    </row>
    <row r="90" ht="15.75" customHeight="1">
      <c r="A90" s="7" t="s">
        <v>67</v>
      </c>
      <c r="B90" s="6" t="s">
        <v>68</v>
      </c>
      <c r="C90" s="49" t="s">
        <v>69</v>
      </c>
      <c r="D90" s="49" t="s">
        <v>70</v>
      </c>
    </row>
    <row r="91" ht="15.75" customHeight="1">
      <c r="A91" s="48" t="str">
        <f t="shared" ref="A91:A96" si="152">A12</f>
        <v>Royal Matt Emulsion paint</v>
      </c>
      <c r="B91" s="5">
        <v>0.5</v>
      </c>
      <c r="C91" s="62">
        <f t="shared" ref="C91:C96" si="153">B91/4</f>
        <v>0.125</v>
      </c>
      <c r="D91" s="62">
        <f t="shared" ref="D91:D96" si="154">B91/16</f>
        <v>0.03125</v>
      </c>
    </row>
    <row r="92" ht="15.75" customHeight="1">
      <c r="A92" s="48" t="str">
        <f t="shared" si="152"/>
        <v>Anti-bacterial Interior paint</v>
      </c>
      <c r="B92" s="5">
        <v>0.9</v>
      </c>
      <c r="C92" s="62">
        <f t="shared" si="153"/>
        <v>0.225</v>
      </c>
      <c r="D92" s="62">
        <f t="shared" si="154"/>
        <v>0.05625</v>
      </c>
    </row>
    <row r="93" ht="15.75" customHeight="1">
      <c r="A93" s="48" t="str">
        <f t="shared" si="152"/>
        <v>Silk emulsion</v>
      </c>
      <c r="B93" s="5">
        <v>0.6</v>
      </c>
      <c r="C93" s="62">
        <f t="shared" si="153"/>
        <v>0.15</v>
      </c>
      <c r="D93" s="62">
        <f t="shared" si="154"/>
        <v>0.0375</v>
      </c>
    </row>
    <row r="94" ht="15.75" customHeight="1">
      <c r="A94" s="48" t="str">
        <f t="shared" si="152"/>
        <v>Weather resistent exterior paint</v>
      </c>
      <c r="B94" s="5">
        <v>0.7</v>
      </c>
      <c r="C94" s="62">
        <f t="shared" si="153"/>
        <v>0.175</v>
      </c>
      <c r="D94" s="62">
        <f t="shared" si="154"/>
        <v>0.04375</v>
      </c>
    </row>
    <row r="95" ht="15.75" customHeight="1">
      <c r="A95" s="48" t="str">
        <f t="shared" si="152"/>
        <v>Super primer</v>
      </c>
      <c r="B95" s="5">
        <v>0.4</v>
      </c>
      <c r="C95" s="62">
        <f t="shared" si="153"/>
        <v>0.1</v>
      </c>
      <c r="D95" s="62">
        <f t="shared" si="154"/>
        <v>0.025</v>
      </c>
    </row>
    <row r="96" ht="15.75" customHeight="1">
      <c r="A96" s="48" t="str">
        <f t="shared" si="152"/>
        <v>Synthetic Enamel</v>
      </c>
      <c r="B96" s="5">
        <v>0.8</v>
      </c>
      <c r="C96" s="62">
        <f t="shared" si="153"/>
        <v>0.2</v>
      </c>
      <c r="D96" s="62">
        <f t="shared" si="154"/>
        <v>0.05</v>
      </c>
    </row>
    <row r="97" ht="15.75" customHeight="1"/>
    <row r="98" ht="15.75" customHeight="1">
      <c r="A98" s="63" t="s">
        <v>71</v>
      </c>
      <c r="B98" s="6">
        <f t="shared" ref="B98:F98" si="155">D2</f>
        <v>2026</v>
      </c>
      <c r="C98" s="6">
        <f t="shared" si="155"/>
        <v>2027</v>
      </c>
      <c r="D98" s="6">
        <f t="shared" si="155"/>
        <v>2028</v>
      </c>
      <c r="E98" s="6">
        <f t="shared" si="155"/>
        <v>2029</v>
      </c>
      <c r="F98" s="6">
        <f t="shared" si="155"/>
        <v>2030</v>
      </c>
    </row>
    <row r="99" ht="15.75" customHeight="1">
      <c r="A99" s="4" t="s">
        <v>72</v>
      </c>
      <c r="B99" s="5">
        <v>250.0</v>
      </c>
      <c r="C99" s="64">
        <f t="shared" ref="C99:F99" si="156">B99*(1+E$5)</f>
        <v>272.5</v>
      </c>
      <c r="D99" s="64">
        <f t="shared" si="156"/>
        <v>294.3</v>
      </c>
      <c r="E99" s="64">
        <f t="shared" si="156"/>
        <v>314.901</v>
      </c>
      <c r="F99" s="64">
        <f t="shared" si="156"/>
        <v>335.369565</v>
      </c>
    </row>
    <row r="100" ht="15.75" customHeight="1">
      <c r="P100" s="49"/>
      <c r="Q100" s="49"/>
      <c r="R100" s="49"/>
      <c r="S100" s="49"/>
      <c r="T100" s="49"/>
    </row>
    <row r="101" ht="15.75" customHeight="1">
      <c r="A101" s="43" t="s">
        <v>73</v>
      </c>
      <c r="B101" s="36">
        <f t="shared" ref="B101:F101" si="157">D2</f>
        <v>2026</v>
      </c>
      <c r="C101" s="36">
        <f t="shared" si="157"/>
        <v>2027</v>
      </c>
      <c r="D101" s="36">
        <f t="shared" si="157"/>
        <v>2028</v>
      </c>
      <c r="E101" s="36">
        <f t="shared" si="157"/>
        <v>2029</v>
      </c>
      <c r="F101" s="36">
        <f t="shared" si="157"/>
        <v>2030</v>
      </c>
      <c r="H101" s="43" t="s">
        <v>74</v>
      </c>
      <c r="I101" s="44">
        <f t="shared" ref="I101:M101" si="158">B101</f>
        <v>2026</v>
      </c>
      <c r="J101" s="44">
        <f t="shared" si="158"/>
        <v>2027</v>
      </c>
      <c r="K101" s="44">
        <f t="shared" si="158"/>
        <v>2028</v>
      </c>
      <c r="L101" s="44">
        <f t="shared" si="158"/>
        <v>2029</v>
      </c>
      <c r="M101" s="44">
        <f t="shared" si="158"/>
        <v>2030</v>
      </c>
      <c r="O101" s="43" t="s">
        <v>75</v>
      </c>
      <c r="P101" s="44">
        <f t="shared" ref="P101:T101" si="159">I101</f>
        <v>2026</v>
      </c>
      <c r="Q101" s="44">
        <f t="shared" si="159"/>
        <v>2027</v>
      </c>
      <c r="R101" s="44">
        <f t="shared" si="159"/>
        <v>2028</v>
      </c>
      <c r="S101" s="44">
        <f t="shared" si="159"/>
        <v>2029</v>
      </c>
      <c r="T101" s="44">
        <f t="shared" si="159"/>
        <v>2030</v>
      </c>
    </row>
    <row r="102" ht="15.75" customHeight="1">
      <c r="A102" s="48" t="str">
        <f t="shared" ref="A102:A108" si="163">A91</f>
        <v>Royal Matt Emulsion paint</v>
      </c>
      <c r="B102" s="50">
        <v>400.0</v>
      </c>
      <c r="C102" s="65">
        <f t="shared" ref="C102:F102" si="160">B102*(1+E$5)</f>
        <v>436</v>
      </c>
      <c r="D102" s="65">
        <f t="shared" si="160"/>
        <v>470.88</v>
      </c>
      <c r="E102" s="65">
        <f t="shared" si="160"/>
        <v>503.8416</v>
      </c>
      <c r="F102" s="65">
        <f t="shared" si="160"/>
        <v>536.591304</v>
      </c>
      <c r="H102" s="48" t="str">
        <f t="shared" ref="H102:H107" si="165">A102</f>
        <v>Royal Matt Emulsion paint</v>
      </c>
      <c r="I102" s="50">
        <v>350.0</v>
      </c>
      <c r="J102" s="65">
        <f t="shared" ref="J102:M102" si="161">I102*(1+E$5)</f>
        <v>381.5</v>
      </c>
      <c r="K102" s="65">
        <f t="shared" si="161"/>
        <v>412.02</v>
      </c>
      <c r="L102" s="65">
        <f t="shared" si="161"/>
        <v>440.8614</v>
      </c>
      <c r="M102" s="65">
        <f t="shared" si="161"/>
        <v>469.517391</v>
      </c>
      <c r="O102" s="48" t="str">
        <f t="shared" ref="O102:O107" si="167">H102</f>
        <v>Royal Matt Emulsion paint</v>
      </c>
      <c r="P102" s="50">
        <v>88.0</v>
      </c>
      <c r="Q102" s="65">
        <f t="shared" ref="Q102:T102" si="162">P102*(1+E$5)</f>
        <v>95.92</v>
      </c>
      <c r="R102" s="65">
        <f t="shared" si="162"/>
        <v>103.5936</v>
      </c>
      <c r="S102" s="65">
        <f t="shared" si="162"/>
        <v>110.845152</v>
      </c>
      <c r="T102" s="65">
        <f t="shared" si="162"/>
        <v>118.0500869</v>
      </c>
    </row>
    <row r="103" ht="15.75" customHeight="1">
      <c r="A103" s="48" t="str">
        <f t="shared" si="163"/>
        <v>Anti-bacterial Interior paint</v>
      </c>
      <c r="B103" s="50">
        <v>420.0</v>
      </c>
      <c r="C103" s="65">
        <f t="shared" ref="C103:F103" si="164">B103*(1+E$5)</f>
        <v>457.8</v>
      </c>
      <c r="D103" s="65">
        <f t="shared" si="164"/>
        <v>494.424</v>
      </c>
      <c r="E103" s="65">
        <f t="shared" si="164"/>
        <v>529.03368</v>
      </c>
      <c r="F103" s="65">
        <f t="shared" si="164"/>
        <v>563.4208692</v>
      </c>
      <c r="H103" s="48" t="str">
        <f t="shared" si="165"/>
        <v>Anti-bacterial Interior paint</v>
      </c>
      <c r="I103" s="50">
        <v>368.0</v>
      </c>
      <c r="J103" s="65">
        <f t="shared" ref="J103:M103" si="166">I103*(1+E$5)</f>
        <v>401.12</v>
      </c>
      <c r="K103" s="65">
        <f t="shared" si="166"/>
        <v>433.2096</v>
      </c>
      <c r="L103" s="65">
        <f t="shared" si="166"/>
        <v>463.534272</v>
      </c>
      <c r="M103" s="65">
        <f t="shared" si="166"/>
        <v>493.6639997</v>
      </c>
      <c r="O103" s="48" t="str">
        <f t="shared" si="167"/>
        <v>Anti-bacterial Interior paint</v>
      </c>
      <c r="P103" s="50">
        <v>92.0</v>
      </c>
      <c r="Q103" s="65">
        <f t="shared" ref="Q103:T103" si="168">P103*(1+E$5)</f>
        <v>100.28</v>
      </c>
      <c r="R103" s="65">
        <f t="shared" si="168"/>
        <v>108.3024</v>
      </c>
      <c r="S103" s="65">
        <f t="shared" si="168"/>
        <v>115.883568</v>
      </c>
      <c r="T103" s="65">
        <f t="shared" si="168"/>
        <v>123.4159999</v>
      </c>
    </row>
    <row r="104" ht="15.75" customHeight="1">
      <c r="A104" s="48" t="str">
        <f t="shared" si="163"/>
        <v>Silk emulsion</v>
      </c>
      <c r="B104" s="50">
        <v>450.0</v>
      </c>
      <c r="C104" s="65">
        <f t="shared" ref="C104:F104" si="169">B104*(1+E$5)</f>
        <v>490.5</v>
      </c>
      <c r="D104" s="65">
        <f t="shared" si="169"/>
        <v>529.74</v>
      </c>
      <c r="E104" s="65">
        <f t="shared" si="169"/>
        <v>566.8218</v>
      </c>
      <c r="F104" s="65">
        <f t="shared" si="169"/>
        <v>603.665217</v>
      </c>
      <c r="H104" s="48" t="str">
        <f t="shared" si="165"/>
        <v>Silk emulsion</v>
      </c>
      <c r="I104" s="50">
        <v>394.0</v>
      </c>
      <c r="J104" s="65">
        <f t="shared" ref="J104:M104" si="170">I104*(1+E$5)</f>
        <v>429.46</v>
      </c>
      <c r="K104" s="65">
        <f t="shared" si="170"/>
        <v>463.8168</v>
      </c>
      <c r="L104" s="65">
        <f t="shared" si="170"/>
        <v>496.283976</v>
      </c>
      <c r="M104" s="65">
        <f t="shared" si="170"/>
        <v>528.5424344</v>
      </c>
      <c r="O104" s="48" t="str">
        <f t="shared" si="167"/>
        <v>Silk emulsion</v>
      </c>
      <c r="P104" s="50">
        <v>98.0</v>
      </c>
      <c r="Q104" s="65">
        <f t="shared" ref="Q104:T104" si="171">P104*(1+E$5)</f>
        <v>106.82</v>
      </c>
      <c r="R104" s="65">
        <f t="shared" si="171"/>
        <v>115.3656</v>
      </c>
      <c r="S104" s="65">
        <f t="shared" si="171"/>
        <v>123.441192</v>
      </c>
      <c r="T104" s="65">
        <f t="shared" si="171"/>
        <v>131.4648695</v>
      </c>
    </row>
    <row r="105" ht="15.75" customHeight="1">
      <c r="A105" s="48" t="str">
        <f t="shared" si="163"/>
        <v>Weather resistent exterior paint</v>
      </c>
      <c r="B105" s="50">
        <v>480.0</v>
      </c>
      <c r="C105" s="65">
        <f t="shared" ref="C105:F105" si="172">B105*(1+E$5)</f>
        <v>523.2</v>
      </c>
      <c r="D105" s="65">
        <f t="shared" si="172"/>
        <v>565.056</v>
      </c>
      <c r="E105" s="65">
        <f t="shared" si="172"/>
        <v>604.60992</v>
      </c>
      <c r="F105" s="65">
        <f t="shared" si="172"/>
        <v>643.9095648</v>
      </c>
      <c r="H105" s="48" t="str">
        <f t="shared" si="165"/>
        <v>Weather resistent exterior paint</v>
      </c>
      <c r="I105" s="50">
        <v>420.0</v>
      </c>
      <c r="J105" s="65">
        <f t="shared" ref="J105:M105" si="173">I105*(1+E$5)</f>
        <v>457.8</v>
      </c>
      <c r="K105" s="65">
        <f t="shared" si="173"/>
        <v>494.424</v>
      </c>
      <c r="L105" s="65">
        <f t="shared" si="173"/>
        <v>529.03368</v>
      </c>
      <c r="M105" s="65">
        <f t="shared" si="173"/>
        <v>563.4208692</v>
      </c>
      <c r="O105" s="48" t="str">
        <f t="shared" si="167"/>
        <v>Weather resistent exterior paint</v>
      </c>
      <c r="P105" s="50">
        <v>105.0</v>
      </c>
      <c r="Q105" s="65">
        <f t="shared" ref="Q105:T105" si="174">P105*(1+E$5)</f>
        <v>114.45</v>
      </c>
      <c r="R105" s="65">
        <f t="shared" si="174"/>
        <v>123.606</v>
      </c>
      <c r="S105" s="65">
        <f t="shared" si="174"/>
        <v>132.25842</v>
      </c>
      <c r="T105" s="65">
        <f t="shared" si="174"/>
        <v>140.8552173</v>
      </c>
    </row>
    <row r="106" ht="15.75" customHeight="1">
      <c r="A106" s="48" t="str">
        <f t="shared" si="163"/>
        <v>Super primer</v>
      </c>
      <c r="B106" s="50">
        <v>380.0</v>
      </c>
      <c r="C106" s="65">
        <f t="shared" ref="C106:F106" si="175">B106*(1+E$5)</f>
        <v>414.2</v>
      </c>
      <c r="D106" s="65">
        <f t="shared" si="175"/>
        <v>447.336</v>
      </c>
      <c r="E106" s="65">
        <f t="shared" si="175"/>
        <v>478.64952</v>
      </c>
      <c r="F106" s="65">
        <f t="shared" si="175"/>
        <v>509.7617388</v>
      </c>
      <c r="H106" s="48" t="str">
        <f t="shared" si="165"/>
        <v>Super primer</v>
      </c>
      <c r="I106" s="50">
        <v>333.0</v>
      </c>
      <c r="J106" s="65">
        <f t="shared" ref="J106:M106" si="176">I106*(1+E$5)</f>
        <v>362.97</v>
      </c>
      <c r="K106" s="65">
        <f t="shared" si="176"/>
        <v>392.0076</v>
      </c>
      <c r="L106" s="65">
        <f t="shared" si="176"/>
        <v>419.448132</v>
      </c>
      <c r="M106" s="65">
        <f t="shared" si="176"/>
        <v>446.7122606</v>
      </c>
      <c r="O106" s="48" t="str">
        <f t="shared" si="167"/>
        <v>Super primer</v>
      </c>
      <c r="P106" s="50">
        <v>83.0</v>
      </c>
      <c r="Q106" s="65">
        <f t="shared" ref="Q106:T106" si="177">P106*(1+E$5)</f>
        <v>90.47</v>
      </c>
      <c r="R106" s="65">
        <f t="shared" si="177"/>
        <v>97.7076</v>
      </c>
      <c r="S106" s="65">
        <f t="shared" si="177"/>
        <v>104.547132</v>
      </c>
      <c r="T106" s="65">
        <f t="shared" si="177"/>
        <v>111.3426956</v>
      </c>
    </row>
    <row r="107" ht="15.75" customHeight="1">
      <c r="A107" s="48" t="str">
        <f t="shared" si="163"/>
        <v>Synthetic Enamel</v>
      </c>
      <c r="B107" s="50">
        <v>500.0</v>
      </c>
      <c r="C107" s="65">
        <f t="shared" ref="C107:F107" si="178">B107*(1+E$5)</f>
        <v>545</v>
      </c>
      <c r="D107" s="65">
        <f t="shared" si="178"/>
        <v>588.6</v>
      </c>
      <c r="E107" s="65">
        <f t="shared" si="178"/>
        <v>629.802</v>
      </c>
      <c r="F107" s="65">
        <f t="shared" si="178"/>
        <v>670.73913</v>
      </c>
      <c r="H107" s="48" t="str">
        <f t="shared" si="165"/>
        <v>Synthetic Enamel</v>
      </c>
      <c r="I107" s="50">
        <v>438.0</v>
      </c>
      <c r="J107" s="65">
        <f t="shared" ref="J107:M107" si="179">I107*(1+E$5)</f>
        <v>477.42</v>
      </c>
      <c r="K107" s="65">
        <f t="shared" si="179"/>
        <v>515.6136</v>
      </c>
      <c r="L107" s="65">
        <f t="shared" si="179"/>
        <v>551.706552</v>
      </c>
      <c r="M107" s="65">
        <f t="shared" si="179"/>
        <v>587.5674779</v>
      </c>
      <c r="O107" s="48" t="str">
        <f t="shared" si="167"/>
        <v>Synthetic Enamel</v>
      </c>
      <c r="P107" s="50">
        <v>109.0</v>
      </c>
      <c r="Q107" s="65">
        <f t="shared" ref="Q107:T107" si="180">P107*(1+E$5)</f>
        <v>118.81</v>
      </c>
      <c r="R107" s="65">
        <f t="shared" si="180"/>
        <v>128.3148</v>
      </c>
      <c r="S107" s="65">
        <f t="shared" si="180"/>
        <v>137.296836</v>
      </c>
      <c r="T107" s="65">
        <f t="shared" si="180"/>
        <v>146.2211303</v>
      </c>
    </row>
    <row r="108" ht="15.75" customHeight="1">
      <c r="A108" s="48" t="str">
        <f t="shared" si="163"/>
        <v/>
      </c>
    </row>
    <row r="109" ht="15.75" customHeight="1">
      <c r="A109" s="66" t="s">
        <v>76</v>
      </c>
      <c r="B109" s="67" t="s">
        <v>77</v>
      </c>
      <c r="C109" s="55"/>
      <c r="D109" s="55"/>
      <c r="E109" s="55"/>
      <c r="F109" s="55"/>
      <c r="G109" s="55"/>
    </row>
    <row r="110" ht="15.75" customHeight="1">
      <c r="A110" s="55"/>
      <c r="B110" s="55"/>
      <c r="C110" s="68">
        <f t="shared" ref="C110:G110" si="181">D2</f>
        <v>2026</v>
      </c>
      <c r="D110" s="68">
        <f t="shared" si="181"/>
        <v>2027</v>
      </c>
      <c r="E110" s="68">
        <f t="shared" si="181"/>
        <v>2028</v>
      </c>
      <c r="F110" s="68">
        <f t="shared" si="181"/>
        <v>2029</v>
      </c>
      <c r="G110" s="68">
        <f t="shared" si="181"/>
        <v>2030</v>
      </c>
      <c r="H110" s="44"/>
      <c r="I110" s="44"/>
      <c r="J110" s="44"/>
      <c r="K110" s="44"/>
      <c r="L110" s="44"/>
      <c r="M110" s="44"/>
      <c r="N110" s="44"/>
    </row>
    <row r="111" ht="15.75" customHeight="1">
      <c r="A111" s="55" t="s">
        <v>78</v>
      </c>
      <c r="B111" s="69" t="s">
        <v>79</v>
      </c>
      <c r="C111" s="70">
        <v>0.05</v>
      </c>
      <c r="D111" s="70">
        <v>0.04</v>
      </c>
      <c r="E111" s="70">
        <v>0.03</v>
      </c>
      <c r="F111" s="70">
        <v>0.02</v>
      </c>
      <c r="G111" s="70">
        <v>0.02</v>
      </c>
      <c r="I111" s="71"/>
      <c r="J111" s="71"/>
      <c r="K111" s="72"/>
      <c r="L111" s="72"/>
      <c r="M111" s="72"/>
      <c r="N111" s="72"/>
    </row>
    <row r="112" ht="15.75" customHeight="1">
      <c r="A112" s="55" t="s">
        <v>80</v>
      </c>
      <c r="B112" s="69" t="s">
        <v>79</v>
      </c>
      <c r="C112" s="73">
        <v>0.14</v>
      </c>
      <c r="D112" s="70">
        <v>0.12</v>
      </c>
      <c r="E112" s="70">
        <v>0.1</v>
      </c>
      <c r="F112" s="70">
        <v>0.08</v>
      </c>
      <c r="G112" s="70">
        <v>0.07</v>
      </c>
      <c r="I112" s="71"/>
      <c r="J112" s="71"/>
      <c r="K112" s="71"/>
      <c r="L112" s="71"/>
      <c r="M112" s="71"/>
      <c r="N112" s="71"/>
    </row>
    <row r="113" ht="15.75" customHeight="1">
      <c r="A113" s="55" t="s">
        <v>81</v>
      </c>
      <c r="B113" s="69" t="s">
        <v>79</v>
      </c>
      <c r="C113" s="70">
        <v>0.07</v>
      </c>
      <c r="D113" s="70">
        <v>0.06</v>
      </c>
      <c r="E113" s="70">
        <v>0.05</v>
      </c>
      <c r="F113" s="70">
        <v>0.04</v>
      </c>
      <c r="G113" s="70">
        <v>0.04</v>
      </c>
      <c r="I113" s="71"/>
      <c r="J113" s="71"/>
      <c r="K113" s="71"/>
      <c r="L113" s="71"/>
      <c r="M113" s="71"/>
      <c r="N113" s="71"/>
    </row>
    <row r="114" ht="15.75" customHeight="1">
      <c r="A114" s="55"/>
      <c r="B114" s="55"/>
      <c r="C114" s="55"/>
      <c r="D114" s="55"/>
      <c r="E114" s="55"/>
      <c r="F114" s="55"/>
      <c r="G114" s="55"/>
    </row>
    <row r="115" ht="15.75" customHeight="1">
      <c r="A115" s="66" t="s">
        <v>82</v>
      </c>
      <c r="B115" s="67" t="s">
        <v>77</v>
      </c>
      <c r="C115" s="55"/>
      <c r="D115" s="55"/>
      <c r="E115" s="55"/>
      <c r="F115" s="55"/>
      <c r="G115" s="55"/>
    </row>
    <row r="116" ht="15.75" customHeight="1">
      <c r="A116" s="55"/>
      <c r="B116" s="55"/>
      <c r="C116" s="68">
        <f t="shared" ref="C116:G116" si="182">D2</f>
        <v>2026</v>
      </c>
      <c r="D116" s="68">
        <f t="shared" si="182"/>
        <v>2027</v>
      </c>
      <c r="E116" s="68">
        <f t="shared" si="182"/>
        <v>2028</v>
      </c>
      <c r="F116" s="68">
        <f t="shared" si="182"/>
        <v>2029</v>
      </c>
      <c r="G116" s="68">
        <f t="shared" si="182"/>
        <v>2030</v>
      </c>
      <c r="H116" s="44"/>
      <c r="I116" s="44"/>
      <c r="J116" s="44"/>
      <c r="K116" s="44"/>
      <c r="L116" s="44"/>
      <c r="M116" s="44"/>
      <c r="N116" s="44"/>
    </row>
    <row r="117" ht="15.75" customHeight="1">
      <c r="A117" s="55" t="s">
        <v>83</v>
      </c>
      <c r="B117" s="69" t="s">
        <v>84</v>
      </c>
      <c r="C117" s="73">
        <v>0.03</v>
      </c>
      <c r="D117" s="73">
        <v>0.03</v>
      </c>
      <c r="E117" s="73">
        <v>0.03</v>
      </c>
      <c r="F117" s="73">
        <v>0.03</v>
      </c>
      <c r="G117" s="73">
        <v>0.03</v>
      </c>
      <c r="I117" s="71"/>
      <c r="J117" s="71"/>
      <c r="K117" s="72"/>
      <c r="L117" s="72"/>
      <c r="M117" s="72"/>
      <c r="N117" s="72"/>
    </row>
    <row r="118" ht="15.75" customHeight="1">
      <c r="A118" s="55" t="s">
        <v>85</v>
      </c>
      <c r="B118" s="69" t="s">
        <v>84</v>
      </c>
      <c r="C118" s="73">
        <v>0.06</v>
      </c>
      <c r="D118" s="73">
        <v>0.06</v>
      </c>
      <c r="E118" s="73">
        <v>0.06</v>
      </c>
      <c r="F118" s="73">
        <v>0.06</v>
      </c>
      <c r="G118" s="73">
        <v>0.05</v>
      </c>
      <c r="I118" s="71"/>
      <c r="J118" s="71"/>
      <c r="K118" s="72"/>
      <c r="L118" s="71"/>
      <c r="M118" s="72"/>
      <c r="N118" s="71"/>
    </row>
    <row r="119" ht="15.75" customHeight="1">
      <c r="A119" s="55" t="s">
        <v>86</v>
      </c>
      <c r="B119" s="69" t="s">
        <v>84</v>
      </c>
      <c r="C119" s="73">
        <v>0.02</v>
      </c>
      <c r="D119" s="73">
        <v>0.02</v>
      </c>
      <c r="E119" s="73">
        <v>0.02</v>
      </c>
      <c r="F119" s="73">
        <v>0.02</v>
      </c>
      <c r="G119" s="73">
        <v>0.02</v>
      </c>
      <c r="I119" s="71"/>
      <c r="J119" s="71"/>
      <c r="K119" s="72"/>
      <c r="L119" s="72"/>
      <c r="M119" s="72"/>
      <c r="N119" s="72"/>
    </row>
    <row r="120" ht="15.75" customHeight="1">
      <c r="A120" s="55"/>
      <c r="B120" s="55"/>
      <c r="C120" s="55"/>
      <c r="D120" s="55"/>
      <c r="E120" s="55"/>
      <c r="F120" s="55"/>
      <c r="G120" s="55"/>
    </row>
    <row r="121" ht="15.75" customHeight="1">
      <c r="A121" s="55"/>
      <c r="B121" s="55"/>
      <c r="C121" s="55"/>
      <c r="D121" s="55"/>
      <c r="E121" s="55"/>
      <c r="F121" s="55"/>
      <c r="G121" s="55"/>
    </row>
    <row r="122" ht="15.75" customHeight="1">
      <c r="A122" s="74" t="s">
        <v>87</v>
      </c>
      <c r="B122" s="55"/>
      <c r="C122" s="55"/>
      <c r="D122" s="55"/>
      <c r="E122" s="55"/>
      <c r="F122" s="55"/>
      <c r="G122" s="55"/>
    </row>
    <row r="123" ht="15.75" customHeight="1">
      <c r="A123" s="55" t="s">
        <v>88</v>
      </c>
      <c r="B123" s="67" t="s">
        <v>89</v>
      </c>
      <c r="C123" s="75">
        <v>45.0</v>
      </c>
      <c r="D123" s="75">
        <v>45.0</v>
      </c>
      <c r="E123" s="75">
        <v>40.0</v>
      </c>
      <c r="F123" s="75">
        <v>40.0</v>
      </c>
      <c r="G123" s="75">
        <v>40.0</v>
      </c>
    </row>
    <row r="124" ht="15.75" customHeight="1">
      <c r="A124" s="55" t="s">
        <v>90</v>
      </c>
      <c r="B124" s="67" t="s">
        <v>89</v>
      </c>
      <c r="C124" s="75">
        <v>80.0</v>
      </c>
      <c r="D124" s="75">
        <v>75.0</v>
      </c>
      <c r="E124" s="75">
        <v>70.0</v>
      </c>
      <c r="F124" s="75">
        <v>65.0</v>
      </c>
      <c r="G124" s="75">
        <v>65.0</v>
      </c>
    </row>
    <row r="125" ht="15.75" customHeight="1">
      <c r="A125" s="55" t="s">
        <v>91</v>
      </c>
      <c r="B125" s="67" t="s">
        <v>89</v>
      </c>
      <c r="C125" s="76">
        <v>55.0</v>
      </c>
      <c r="D125" s="75">
        <v>50.0</v>
      </c>
      <c r="E125" s="75">
        <v>45.0</v>
      </c>
      <c r="F125" s="75">
        <v>40.0</v>
      </c>
      <c r="G125" s="75">
        <v>40.0</v>
      </c>
    </row>
    <row r="126" ht="15.75" customHeight="1">
      <c r="A126" s="55"/>
      <c r="B126" s="55"/>
      <c r="C126" s="55"/>
      <c r="D126" s="55"/>
      <c r="E126" s="55"/>
      <c r="F126" s="55"/>
      <c r="G126" s="55"/>
    </row>
    <row r="127" ht="15.75" customHeight="1">
      <c r="A127" s="55"/>
      <c r="B127" s="55"/>
      <c r="C127" s="55"/>
      <c r="D127" s="55"/>
      <c r="E127" s="55"/>
      <c r="F127" s="55"/>
      <c r="G127" s="55"/>
    </row>
    <row r="128" ht="15.75" customHeight="1">
      <c r="A128" s="74" t="s">
        <v>92</v>
      </c>
      <c r="B128" s="67" t="s">
        <v>93</v>
      </c>
      <c r="C128" s="55"/>
      <c r="D128" s="55"/>
      <c r="E128" s="55"/>
      <c r="F128" s="55"/>
      <c r="G128" s="55"/>
    </row>
    <row r="129" ht="15.75" customHeight="1">
      <c r="A129" s="74"/>
      <c r="B129" s="67"/>
      <c r="C129" s="68">
        <f t="shared" ref="C129:G129" si="183">D2</f>
        <v>2026</v>
      </c>
      <c r="D129" s="68">
        <f t="shared" si="183"/>
        <v>2027</v>
      </c>
      <c r="E129" s="68">
        <f t="shared" si="183"/>
        <v>2028</v>
      </c>
      <c r="F129" s="68">
        <f t="shared" si="183"/>
        <v>2029</v>
      </c>
      <c r="G129" s="68">
        <f t="shared" si="183"/>
        <v>2030</v>
      </c>
      <c r="H129" s="44"/>
      <c r="I129" s="44"/>
      <c r="J129" s="44"/>
      <c r="K129" s="44"/>
      <c r="L129" s="44"/>
      <c r="M129" s="44"/>
      <c r="N129" s="44"/>
    </row>
    <row r="130" ht="15.75" customHeight="1">
      <c r="A130" s="77" t="s">
        <v>94</v>
      </c>
      <c r="B130" s="55"/>
      <c r="C130" s="55"/>
      <c r="D130" s="55"/>
      <c r="E130" s="55"/>
      <c r="F130" s="55"/>
      <c r="G130" s="55"/>
    </row>
    <row r="131" ht="15.75" customHeight="1">
      <c r="A131" s="55" t="s">
        <v>95</v>
      </c>
      <c r="B131" s="55"/>
      <c r="C131" s="78">
        <v>22.0</v>
      </c>
      <c r="D131" s="78">
        <v>0.0</v>
      </c>
      <c r="E131" s="78">
        <v>0.0</v>
      </c>
      <c r="F131" s="78">
        <v>0.0</v>
      </c>
      <c r="G131" s="78">
        <v>0.0</v>
      </c>
    </row>
    <row r="132" ht="15.75" customHeight="1">
      <c r="A132" s="55" t="s">
        <v>96</v>
      </c>
      <c r="B132" s="55"/>
      <c r="C132" s="78">
        <v>28.0</v>
      </c>
      <c r="D132" s="78">
        <v>0.0</v>
      </c>
      <c r="E132" s="78">
        <v>0.0</v>
      </c>
      <c r="F132" s="78">
        <v>0.0</v>
      </c>
      <c r="G132" s="78">
        <v>0.0</v>
      </c>
    </row>
    <row r="133" ht="15.75" customHeight="1">
      <c r="A133" s="55" t="s">
        <v>97</v>
      </c>
      <c r="B133" s="55"/>
      <c r="C133" s="78">
        <v>60.0</v>
      </c>
      <c r="D133" s="78">
        <v>10.0</v>
      </c>
      <c r="E133" s="78">
        <v>6.0</v>
      </c>
      <c r="F133" s="78">
        <v>6.0</v>
      </c>
      <c r="G133" s="78">
        <v>5.0</v>
      </c>
    </row>
    <row r="134" ht="15.75" customHeight="1">
      <c r="A134" s="55" t="s">
        <v>98</v>
      </c>
      <c r="B134" s="55"/>
      <c r="C134" s="78">
        <v>10.0</v>
      </c>
      <c r="D134" s="78">
        <v>2.0</v>
      </c>
      <c r="E134" s="78">
        <v>1.0</v>
      </c>
      <c r="F134" s="78">
        <v>1.0</v>
      </c>
      <c r="G134" s="78">
        <v>1.0</v>
      </c>
    </row>
    <row r="135" ht="15.75" customHeight="1">
      <c r="A135" s="55" t="s">
        <v>99</v>
      </c>
      <c r="B135" s="55"/>
      <c r="C135" s="78">
        <v>18.0</v>
      </c>
      <c r="D135" s="78">
        <v>5.0</v>
      </c>
      <c r="E135" s="78">
        <v>4.0</v>
      </c>
      <c r="F135" s="78">
        <v>4.0</v>
      </c>
      <c r="G135" s="78">
        <v>5.0</v>
      </c>
    </row>
    <row r="136" ht="15.75" customHeight="1">
      <c r="A136" s="79" t="s">
        <v>100</v>
      </c>
      <c r="B136" s="79"/>
      <c r="C136" s="80">
        <f t="shared" ref="C136:G136" si="184">SUM(C131:C135)</f>
        <v>138</v>
      </c>
      <c r="D136" s="80">
        <f t="shared" si="184"/>
        <v>17</v>
      </c>
      <c r="E136" s="80">
        <f t="shared" si="184"/>
        <v>11</v>
      </c>
      <c r="F136" s="80">
        <f t="shared" si="184"/>
        <v>11</v>
      </c>
      <c r="G136" s="80">
        <f t="shared" si="184"/>
        <v>11</v>
      </c>
    </row>
    <row r="137" ht="15.75" customHeight="1">
      <c r="A137" s="55"/>
      <c r="B137" s="55"/>
      <c r="C137" s="55"/>
      <c r="D137" s="55"/>
      <c r="E137" s="55"/>
      <c r="F137" s="55"/>
      <c r="G137" s="55"/>
    </row>
    <row r="138" ht="15.75" customHeight="1">
      <c r="A138" s="55" t="s">
        <v>101</v>
      </c>
      <c r="B138" s="67" t="s">
        <v>102</v>
      </c>
      <c r="C138" s="78">
        <v>5.0</v>
      </c>
      <c r="D138" s="55"/>
      <c r="E138" s="55"/>
      <c r="F138" s="55"/>
      <c r="G138" s="55"/>
    </row>
    <row r="139" ht="15.75" customHeight="1">
      <c r="A139" s="55" t="s">
        <v>103</v>
      </c>
      <c r="B139" s="55"/>
      <c r="C139" s="81">
        <f>100%/C138</f>
        <v>0.2</v>
      </c>
      <c r="D139" s="44"/>
      <c r="E139" s="44"/>
      <c r="F139" s="44"/>
      <c r="G139" s="44"/>
      <c r="H139" s="44"/>
      <c r="I139" s="44"/>
    </row>
    <row r="140" ht="15.75" customHeight="1"/>
    <row r="141" ht="15.75" customHeight="1">
      <c r="A141" s="4"/>
      <c r="B141" s="4"/>
      <c r="C141" s="6">
        <f t="shared" ref="C141:G141" si="185">D2</f>
        <v>2026</v>
      </c>
      <c r="D141" s="6">
        <f t="shared" si="185"/>
        <v>2027</v>
      </c>
      <c r="E141" s="6">
        <f t="shared" si="185"/>
        <v>2028</v>
      </c>
      <c r="F141" s="6">
        <f t="shared" si="185"/>
        <v>2029</v>
      </c>
      <c r="G141" s="6">
        <f t="shared" si="185"/>
        <v>2030</v>
      </c>
    </row>
    <row r="142" ht="15.75" customHeight="1">
      <c r="A142" s="7" t="s">
        <v>104</v>
      </c>
      <c r="B142" s="82" t="s">
        <v>93</v>
      </c>
      <c r="C142" s="4"/>
      <c r="D142" s="4"/>
      <c r="E142" s="4"/>
      <c r="F142" s="4"/>
      <c r="G142" s="4"/>
    </row>
    <row r="143" ht="15.75" customHeight="1">
      <c r="A143" s="4" t="s">
        <v>105</v>
      </c>
      <c r="B143" s="4"/>
      <c r="C143" s="83">
        <v>100.0</v>
      </c>
      <c r="D143" s="83">
        <v>200.0</v>
      </c>
      <c r="E143" s="83">
        <v>100.0</v>
      </c>
      <c r="F143" s="84">
        <v>0.0</v>
      </c>
      <c r="G143" s="84">
        <v>0.0</v>
      </c>
    </row>
    <row r="144" ht="15.75" customHeight="1">
      <c r="A144" s="4" t="s">
        <v>106</v>
      </c>
      <c r="B144" s="4"/>
      <c r="C144" s="83">
        <v>0.0</v>
      </c>
      <c r="D144" s="83">
        <v>0.0</v>
      </c>
      <c r="E144" s="83">
        <v>0.0</v>
      </c>
      <c r="F144" s="84">
        <v>0.0</v>
      </c>
      <c r="G144" s="84">
        <v>0.0</v>
      </c>
    </row>
    <row r="145" ht="15.75" customHeight="1">
      <c r="A145" s="4"/>
      <c r="B145" s="4"/>
      <c r="C145" s="85"/>
      <c r="D145" s="85"/>
      <c r="E145" s="85"/>
      <c r="F145" s="4"/>
      <c r="G145" s="4"/>
    </row>
    <row r="146" ht="15.75" customHeight="1">
      <c r="A146" s="4" t="s">
        <v>107</v>
      </c>
      <c r="B146" s="4"/>
      <c r="C146" s="86">
        <f>0.1</f>
        <v>0.1</v>
      </c>
      <c r="D146" s="86">
        <v>0.15</v>
      </c>
      <c r="E146" s="86">
        <v>0.2</v>
      </c>
      <c r="F146" s="86">
        <v>0.2</v>
      </c>
      <c r="G146" s="86">
        <v>0.2</v>
      </c>
    </row>
    <row r="147" ht="15.75" customHeight="1"/>
    <row r="148" ht="15.75" customHeight="1">
      <c r="A148" s="4"/>
      <c r="B148" s="4"/>
      <c r="C148" s="6">
        <f t="shared" ref="C148:G148" si="186">+C141</f>
        <v>2026</v>
      </c>
      <c r="D148" s="6">
        <f t="shared" si="186"/>
        <v>2027</v>
      </c>
      <c r="E148" s="6">
        <f t="shared" si="186"/>
        <v>2028</v>
      </c>
      <c r="F148" s="6">
        <f t="shared" si="186"/>
        <v>2029</v>
      </c>
      <c r="G148" s="6">
        <f t="shared" si="186"/>
        <v>2030</v>
      </c>
    </row>
    <row r="149" ht="15.75" customHeight="1">
      <c r="A149" s="7" t="s">
        <v>108</v>
      </c>
      <c r="B149" s="82" t="s">
        <v>93</v>
      </c>
      <c r="C149" s="4"/>
      <c r="D149" s="4"/>
      <c r="E149" s="4"/>
      <c r="F149" s="4"/>
      <c r="G149" s="4"/>
    </row>
    <row r="150" ht="15.75" customHeight="1">
      <c r="A150" s="4" t="s">
        <v>109</v>
      </c>
      <c r="B150" s="4"/>
      <c r="C150" s="83">
        <v>500.0</v>
      </c>
      <c r="D150" s="84">
        <v>0.0</v>
      </c>
      <c r="E150" s="84">
        <v>0.0</v>
      </c>
      <c r="F150" s="84">
        <v>0.0</v>
      </c>
      <c r="G150" s="84">
        <v>0.0</v>
      </c>
    </row>
    <row r="151" ht="15.75" customHeight="1">
      <c r="A151" s="4" t="s">
        <v>110</v>
      </c>
      <c r="B151" s="82" t="s">
        <v>111</v>
      </c>
      <c r="C151" s="87">
        <v>0.015</v>
      </c>
      <c r="D151" s="4"/>
      <c r="E151" s="4"/>
      <c r="F151" s="4"/>
      <c r="G151" s="4"/>
    </row>
    <row r="152" ht="15.75" customHeight="1">
      <c r="A152" s="4" t="s">
        <v>112</v>
      </c>
      <c r="B152" s="82" t="s">
        <v>111</v>
      </c>
      <c r="C152" s="87">
        <v>0.02</v>
      </c>
      <c r="D152" s="4"/>
      <c r="E152" s="4"/>
      <c r="F152" s="4"/>
      <c r="G152" s="4"/>
    </row>
    <row r="153" ht="15.75" customHeight="1">
      <c r="A153" s="4" t="s">
        <v>113</v>
      </c>
      <c r="B153" s="82" t="s">
        <v>102</v>
      </c>
      <c r="C153" s="88">
        <v>5.0</v>
      </c>
      <c r="D153" s="4"/>
      <c r="E153" s="4"/>
      <c r="F153" s="4"/>
      <c r="G153" s="4"/>
    </row>
    <row r="154" ht="15.75" customHeight="1">
      <c r="A154" s="4" t="s">
        <v>114</v>
      </c>
      <c r="B154" s="82" t="s">
        <v>102</v>
      </c>
      <c r="C154" s="88">
        <v>1.0</v>
      </c>
      <c r="D154" s="4"/>
      <c r="E154" s="4"/>
      <c r="F154" s="4"/>
      <c r="G154" s="4"/>
    </row>
    <row r="155" ht="15.75" customHeight="1"/>
    <row r="156" ht="15.75" customHeight="1">
      <c r="A156" s="7" t="s">
        <v>115</v>
      </c>
      <c r="B156" s="4"/>
    </row>
    <row r="157" ht="15.75" customHeight="1">
      <c r="A157" s="4" t="s">
        <v>116</v>
      </c>
      <c r="B157" s="89" t="str">
        <f>B160</f>
        <v>#REF!</v>
      </c>
    </row>
    <row r="158" ht="15.75" customHeight="1">
      <c r="A158" s="4" t="s">
        <v>117</v>
      </c>
      <c r="B158" s="28">
        <v>0.01</v>
      </c>
    </row>
    <row r="159" ht="15.75" customHeight="1"/>
    <row r="160" ht="15.75" customHeight="1">
      <c r="A160" s="4" t="s">
        <v>118</v>
      </c>
      <c r="B160" s="90" t="str">
        <f>(B161*B164)+(B163*B166)+(B162*B165)</f>
        <v>#REF!</v>
      </c>
    </row>
    <row r="161" ht="15.75" customHeight="1">
      <c r="A161" s="4" t="s">
        <v>119</v>
      </c>
      <c r="B161" s="91" t="str">
        <f>+#REF!/(#REF!+#REF!+#REF!+#REF!)</f>
        <v>#REF!</v>
      </c>
    </row>
    <row r="162" ht="15.75" customHeight="1">
      <c r="A162" s="4" t="s">
        <v>120</v>
      </c>
      <c r="B162" s="91" t="str">
        <f>+(#REF!+#REF!)/(+#REF!+#REF!+#REF!+#REF!)</f>
        <v>#REF!</v>
      </c>
    </row>
    <row r="163" ht="15.75" customHeight="1">
      <c r="A163" s="4" t="s">
        <v>121</v>
      </c>
      <c r="B163" s="90" t="str">
        <f>#REF!/(+#REF!+#REF!+#REF!+#REF!)</f>
        <v>#REF!</v>
      </c>
    </row>
    <row r="164" ht="15.75" customHeight="1">
      <c r="A164" s="4" t="s">
        <v>122</v>
      </c>
      <c r="B164" s="90">
        <f>B168*(1-C28)</f>
        <v>0.10295</v>
      </c>
    </row>
    <row r="165" ht="15.75" customHeight="1">
      <c r="A165" s="4" t="s">
        <v>123</v>
      </c>
      <c r="B165" s="90">
        <f>B169*(1-C28)</f>
        <v>0.1065</v>
      </c>
    </row>
    <row r="166" ht="15.75" customHeight="1">
      <c r="A166" s="4" t="s">
        <v>124</v>
      </c>
      <c r="B166" s="92">
        <v>0.15</v>
      </c>
    </row>
    <row r="167" ht="15.75" customHeight="1">
      <c r="A167" s="4"/>
      <c r="B167" s="4"/>
    </row>
    <row r="168" ht="15.75" customHeight="1">
      <c r="A168" s="4" t="s">
        <v>125</v>
      </c>
      <c r="B168" s="90">
        <f>D8+C151</f>
        <v>0.145</v>
      </c>
    </row>
    <row r="169" ht="15.75" customHeight="1">
      <c r="A169" s="4" t="s">
        <v>126</v>
      </c>
      <c r="B169" s="90">
        <f>D8+C152</f>
        <v>0.15</v>
      </c>
    </row>
    <row r="170" ht="15.75" customHeight="1"/>
    <row r="171" ht="15.75" customHeight="1"/>
    <row r="172" ht="15.75" customHeight="1">
      <c r="A172" s="93" t="s">
        <v>127</v>
      </c>
    </row>
    <row r="173" ht="15.75" customHeight="1">
      <c r="A173" s="94" t="s">
        <v>128</v>
      </c>
      <c r="B173" s="95">
        <v>0.005</v>
      </c>
    </row>
    <row r="174" ht="15.75" customHeight="1">
      <c r="A174" s="94" t="s">
        <v>129</v>
      </c>
      <c r="B174" s="95">
        <v>6.0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6" width="12.63"/>
    <col customWidth="1" min="9" max="9" width="25.25"/>
    <col customWidth="1" min="15" max="15" width="24.63"/>
    <col customWidth="1" min="16" max="16" width="25.25"/>
  </cols>
  <sheetData>
    <row r="1" ht="15.75" customHeight="1">
      <c r="A1" s="96" t="s">
        <v>130</v>
      </c>
      <c r="B1" s="3"/>
    </row>
    <row r="2" ht="15.75" customHeight="1">
      <c r="A2" s="31" t="s">
        <v>131</v>
      </c>
      <c r="B2" s="3"/>
      <c r="I2" s="97" t="s">
        <v>132</v>
      </c>
      <c r="P2" s="97" t="s">
        <v>133</v>
      </c>
    </row>
    <row r="3" ht="15.75" customHeight="1">
      <c r="A3" s="31" t="s">
        <v>134</v>
      </c>
      <c r="B3" s="98" t="s">
        <v>135</v>
      </c>
      <c r="I3" s="97" t="s">
        <v>136</v>
      </c>
      <c r="J3" s="48" t="str">
        <f>B3</f>
        <v>(NO)</v>
      </c>
      <c r="P3" s="97" t="s">
        <v>137</v>
      </c>
    </row>
    <row r="4" ht="15.75" customHeight="1">
      <c r="A4" s="34" t="s">
        <v>138</v>
      </c>
      <c r="B4" s="3"/>
      <c r="C4" s="44">
        <f>Assumptions!D2</f>
        <v>2026</v>
      </c>
      <c r="D4" s="44">
        <f>Assumptions!E2</f>
        <v>2027</v>
      </c>
      <c r="E4" s="44">
        <f>Assumptions!F2</f>
        <v>2028</v>
      </c>
      <c r="F4" s="44">
        <f>Assumptions!G2</f>
        <v>2029</v>
      </c>
      <c r="G4" s="44">
        <f>Assumptions!H2</f>
        <v>2030</v>
      </c>
      <c r="I4" s="43" t="str">
        <f t="shared" ref="I4:I10" si="3">A4</f>
        <v>Total sales</v>
      </c>
      <c r="J4" s="44">
        <f t="shared" ref="J4:N4" si="1">C4</f>
        <v>2026</v>
      </c>
      <c r="K4" s="44">
        <f t="shared" si="1"/>
        <v>2027</v>
      </c>
      <c r="L4" s="44">
        <f t="shared" si="1"/>
        <v>2028</v>
      </c>
      <c r="M4" s="44">
        <f t="shared" si="1"/>
        <v>2029</v>
      </c>
      <c r="N4" s="44">
        <f t="shared" si="1"/>
        <v>2030</v>
      </c>
      <c r="P4" s="43" t="str">
        <f t="shared" ref="P4:U4" si="2">I4</f>
        <v>Total sales</v>
      </c>
      <c r="Q4" s="44">
        <f t="shared" si="2"/>
        <v>2026</v>
      </c>
      <c r="R4" s="44">
        <f t="shared" si="2"/>
        <v>2027</v>
      </c>
      <c r="S4" s="44">
        <f t="shared" si="2"/>
        <v>2028</v>
      </c>
      <c r="T4" s="44">
        <f t="shared" si="2"/>
        <v>2029</v>
      </c>
      <c r="U4" s="44">
        <f t="shared" si="2"/>
        <v>2030</v>
      </c>
    </row>
    <row r="5" ht="15.75" customHeight="1">
      <c r="A5" s="3" t="str">
        <f>Assumptions!A12</f>
        <v>Royal Matt Emulsion paint</v>
      </c>
      <c r="B5" s="3"/>
      <c r="C5" s="48">
        <f>Assumptions!C12</f>
        <v>25000</v>
      </c>
      <c r="D5" s="48">
        <f>C5*(1+Assumptions!D$21)</f>
        <v>47500</v>
      </c>
      <c r="E5" s="48">
        <f>D5*(1+Assumptions!E$21)</f>
        <v>85500</v>
      </c>
      <c r="F5" s="48">
        <f>E5*(1+Assumptions!F$21)</f>
        <v>136800</v>
      </c>
      <c r="G5" s="48">
        <f>F5*(1+Assumptions!G$21)</f>
        <v>191520</v>
      </c>
      <c r="I5" s="48" t="str">
        <f t="shared" si="3"/>
        <v>Royal Matt Emulsion paint</v>
      </c>
      <c r="J5" s="49">
        <f>Assumptions!I12</f>
        <v>30000</v>
      </c>
      <c r="K5" s="49">
        <f>J5*(1+Assumptions!D$21)</f>
        <v>57000</v>
      </c>
      <c r="L5" s="49">
        <f>K5*(1+Assumptions!E$21)</f>
        <v>102600</v>
      </c>
      <c r="M5" s="49">
        <f>L5*(1+Assumptions!F$21)</f>
        <v>164160</v>
      </c>
      <c r="N5" s="49">
        <f>M5*(1+Assumptions!G$21)</f>
        <v>229824</v>
      </c>
      <c r="P5" s="48" t="str">
        <f t="shared" ref="P5:P73" si="4">I5</f>
        <v>Royal Matt Emulsion paint</v>
      </c>
      <c r="Q5" s="49">
        <f>Assumptions!O12</f>
        <v>15000</v>
      </c>
      <c r="R5" s="49">
        <f>Q5*(1+Assumptions!D$21)</f>
        <v>28500</v>
      </c>
      <c r="S5" s="49">
        <f>R5*(1+Assumptions!E$21)</f>
        <v>51300</v>
      </c>
      <c r="T5" s="49">
        <f>S5*(1+Assumptions!F$21)</f>
        <v>82080</v>
      </c>
      <c r="U5" s="49">
        <f>T5*(1+Assumptions!G$21)</f>
        <v>114912</v>
      </c>
    </row>
    <row r="6" ht="15.75" customHeight="1">
      <c r="A6" s="3" t="str">
        <f>Assumptions!A13</f>
        <v>Anti-bacterial Interior paint</v>
      </c>
      <c r="B6" s="3"/>
      <c r="C6" s="48">
        <f>Assumptions!C13</f>
        <v>18000</v>
      </c>
      <c r="D6" s="48">
        <f>C6*(1+Assumptions!D$21)</f>
        <v>34200</v>
      </c>
      <c r="E6" s="48">
        <f>D6*(1+Assumptions!E$21)</f>
        <v>61560</v>
      </c>
      <c r="F6" s="48">
        <f>E6*(1+Assumptions!F$21)</f>
        <v>98496</v>
      </c>
      <c r="G6" s="48">
        <f>F6*(1+Assumptions!G$21)</f>
        <v>137894.4</v>
      </c>
      <c r="I6" s="48" t="str">
        <f t="shared" si="3"/>
        <v>Anti-bacterial Interior paint</v>
      </c>
      <c r="J6" s="49">
        <f>Assumptions!I13</f>
        <v>23000</v>
      </c>
      <c r="K6" s="49">
        <f>J6*(1+Assumptions!D$21)</f>
        <v>43700</v>
      </c>
      <c r="L6" s="49">
        <f>K6*(1+Assumptions!E$21)</f>
        <v>78660</v>
      </c>
      <c r="M6" s="49">
        <f>L6*(1+Assumptions!F$21)</f>
        <v>125856</v>
      </c>
      <c r="N6" s="49">
        <f>M6*(1+Assumptions!G$21)</f>
        <v>176198.4</v>
      </c>
      <c r="P6" s="48" t="str">
        <f t="shared" si="4"/>
        <v>Anti-bacterial Interior paint</v>
      </c>
      <c r="Q6" s="49">
        <f>Assumptions!O13</f>
        <v>13000</v>
      </c>
      <c r="R6" s="49">
        <f>Q6*(1+Assumptions!D$21)</f>
        <v>24700</v>
      </c>
      <c r="S6" s="49">
        <f>R6*(1+Assumptions!E$21)</f>
        <v>44460</v>
      </c>
      <c r="T6" s="49">
        <f>S6*(1+Assumptions!F$21)</f>
        <v>71136</v>
      </c>
      <c r="U6" s="49">
        <f>T6*(1+Assumptions!G$21)</f>
        <v>99590.4</v>
      </c>
    </row>
    <row r="7" ht="15.75" customHeight="1">
      <c r="A7" s="3" t="str">
        <f>Assumptions!A14</f>
        <v>Silk emulsion</v>
      </c>
      <c r="B7" s="3"/>
      <c r="C7" s="48">
        <f>Assumptions!C14</f>
        <v>23000</v>
      </c>
      <c r="D7" s="48">
        <f>C7*(1+Assumptions!D$21)</f>
        <v>43700</v>
      </c>
      <c r="E7" s="48">
        <f>D7*(1+Assumptions!E$21)</f>
        <v>78660</v>
      </c>
      <c r="F7" s="48">
        <f>E7*(1+Assumptions!F$21)</f>
        <v>125856</v>
      </c>
      <c r="G7" s="48">
        <f>F7*(1+Assumptions!G$21)</f>
        <v>176198.4</v>
      </c>
      <c r="I7" s="48" t="str">
        <f t="shared" si="3"/>
        <v>Silk emulsion</v>
      </c>
      <c r="J7" s="49">
        <f>Assumptions!I14</f>
        <v>27000</v>
      </c>
      <c r="K7" s="49">
        <f>J7*(1+Assumptions!D$21)</f>
        <v>51300</v>
      </c>
      <c r="L7" s="49">
        <f>K7*(1+Assumptions!E$21)</f>
        <v>92340</v>
      </c>
      <c r="M7" s="49">
        <f>L7*(1+Assumptions!F$21)</f>
        <v>147744</v>
      </c>
      <c r="N7" s="49">
        <f>M7*(1+Assumptions!G$21)</f>
        <v>206841.6</v>
      </c>
      <c r="P7" s="48" t="str">
        <f t="shared" si="4"/>
        <v>Silk emulsion</v>
      </c>
      <c r="Q7" s="49">
        <f>Assumptions!O14</f>
        <v>17000</v>
      </c>
      <c r="R7" s="49">
        <f>Q7*(1+Assumptions!D$21)</f>
        <v>32300</v>
      </c>
      <c r="S7" s="49">
        <f>R7*(1+Assumptions!E$21)</f>
        <v>58140</v>
      </c>
      <c r="T7" s="49">
        <f>S7*(1+Assumptions!F$21)</f>
        <v>93024</v>
      </c>
      <c r="U7" s="49">
        <f>T7*(1+Assumptions!G$21)</f>
        <v>130233.6</v>
      </c>
    </row>
    <row r="8" ht="15.75" customHeight="1">
      <c r="A8" s="3" t="str">
        <f>Assumptions!A15</f>
        <v>Weather resistent exterior paint</v>
      </c>
      <c r="B8" s="3"/>
      <c r="C8" s="48">
        <f>Assumptions!C15</f>
        <v>30000</v>
      </c>
      <c r="D8" s="48">
        <f>C8*(1+Assumptions!D$21)</f>
        <v>57000</v>
      </c>
      <c r="E8" s="48">
        <f>D8*(1+Assumptions!E$21)</f>
        <v>102600</v>
      </c>
      <c r="F8" s="48">
        <f>E8*(1+Assumptions!F$21)</f>
        <v>164160</v>
      </c>
      <c r="G8" s="48">
        <f>F8*(1+Assumptions!G$21)</f>
        <v>229824</v>
      </c>
      <c r="I8" s="48" t="str">
        <f t="shared" si="3"/>
        <v>Weather resistent exterior paint</v>
      </c>
      <c r="J8" s="49">
        <f>Assumptions!I15</f>
        <v>35000</v>
      </c>
      <c r="K8" s="49">
        <f>J8*(1+Assumptions!D$21)</f>
        <v>66500</v>
      </c>
      <c r="L8" s="49">
        <f>K8*(1+Assumptions!E$21)</f>
        <v>119700</v>
      </c>
      <c r="M8" s="49">
        <f>L8*(1+Assumptions!F$21)</f>
        <v>191520</v>
      </c>
      <c r="N8" s="49">
        <f>M8*(1+Assumptions!G$21)</f>
        <v>268128</v>
      </c>
      <c r="P8" s="48" t="str">
        <f t="shared" si="4"/>
        <v>Weather resistent exterior paint</v>
      </c>
      <c r="Q8" s="49">
        <f>Assumptions!O15</f>
        <v>25000</v>
      </c>
      <c r="R8" s="49">
        <f>Q8*(1+Assumptions!D$21)</f>
        <v>47500</v>
      </c>
      <c r="S8" s="49">
        <f>R8*(1+Assumptions!E$21)</f>
        <v>85500</v>
      </c>
      <c r="T8" s="49">
        <f>S8*(1+Assumptions!F$21)</f>
        <v>136800</v>
      </c>
      <c r="U8" s="49">
        <f>T8*(1+Assumptions!G$21)</f>
        <v>191520</v>
      </c>
    </row>
    <row r="9" ht="15.75" customHeight="1">
      <c r="A9" s="3" t="str">
        <f>Assumptions!A16</f>
        <v>Super primer</v>
      </c>
      <c r="B9" s="3"/>
      <c r="C9" s="48">
        <f>Assumptions!C16</f>
        <v>35000</v>
      </c>
      <c r="D9" s="48">
        <f>C9*(1+Assumptions!D$21)</f>
        <v>66500</v>
      </c>
      <c r="E9" s="48">
        <f>D9*(1+Assumptions!E$21)</f>
        <v>119700</v>
      </c>
      <c r="F9" s="48">
        <f>E9*(1+Assumptions!F$21)</f>
        <v>191520</v>
      </c>
      <c r="G9" s="48">
        <f>F9*(1+Assumptions!G$21)</f>
        <v>268128</v>
      </c>
      <c r="I9" s="48" t="str">
        <f t="shared" si="3"/>
        <v>Super primer</v>
      </c>
      <c r="J9" s="49">
        <f>Assumptions!I16</f>
        <v>40000</v>
      </c>
      <c r="K9" s="49">
        <f>J9*(1+Assumptions!D$21)</f>
        <v>76000</v>
      </c>
      <c r="L9" s="49">
        <f>K9*(1+Assumptions!E$21)</f>
        <v>136800</v>
      </c>
      <c r="M9" s="49">
        <f>L9*(1+Assumptions!F$21)</f>
        <v>218880</v>
      </c>
      <c r="N9" s="49">
        <f>M9*(1+Assumptions!G$21)</f>
        <v>306432</v>
      </c>
      <c r="P9" s="48" t="str">
        <f t="shared" si="4"/>
        <v>Super primer</v>
      </c>
      <c r="Q9" s="49">
        <f>Assumptions!O16</f>
        <v>30000</v>
      </c>
      <c r="R9" s="49">
        <f>Q9*(1+Assumptions!D$21)</f>
        <v>57000</v>
      </c>
      <c r="S9" s="49">
        <f>R9*(1+Assumptions!E$21)</f>
        <v>102600</v>
      </c>
      <c r="T9" s="49">
        <f>S9*(1+Assumptions!F$21)</f>
        <v>164160</v>
      </c>
      <c r="U9" s="49">
        <f>T9*(1+Assumptions!G$21)</f>
        <v>229824</v>
      </c>
    </row>
    <row r="10" ht="15.75" customHeight="1">
      <c r="A10" s="3" t="str">
        <f>Assumptions!A17</f>
        <v>Synthetic Enamel</v>
      </c>
      <c r="B10" s="3"/>
      <c r="C10" s="48">
        <f>Assumptions!C17</f>
        <v>40000</v>
      </c>
      <c r="D10" s="48">
        <f>C10*(1+Assumptions!D$21)</f>
        <v>76000</v>
      </c>
      <c r="E10" s="48">
        <f>D10*(1+Assumptions!E$21)</f>
        <v>136800</v>
      </c>
      <c r="F10" s="48">
        <f>E10*(1+Assumptions!F$21)</f>
        <v>218880</v>
      </c>
      <c r="G10" s="48">
        <f>F10*(1+Assumptions!G$21)</f>
        <v>306432</v>
      </c>
      <c r="I10" s="48" t="str">
        <f t="shared" si="3"/>
        <v>Synthetic Enamel</v>
      </c>
      <c r="J10" s="49">
        <f>Assumptions!I17</f>
        <v>45000</v>
      </c>
      <c r="K10" s="49">
        <f>J10*(1+Assumptions!D$21)</f>
        <v>85500</v>
      </c>
      <c r="L10" s="49">
        <f>K10*(1+Assumptions!E$21)</f>
        <v>153900</v>
      </c>
      <c r="M10" s="49">
        <f>L10*(1+Assumptions!F$21)</f>
        <v>246240</v>
      </c>
      <c r="N10" s="49">
        <f>M10*(1+Assumptions!G$21)</f>
        <v>344736</v>
      </c>
      <c r="P10" s="48" t="str">
        <f t="shared" si="4"/>
        <v>Synthetic Enamel</v>
      </c>
      <c r="Q10" s="49">
        <f>Assumptions!O17</f>
        <v>35000</v>
      </c>
      <c r="R10" s="49">
        <f>Q10*(1+Assumptions!D$21)</f>
        <v>66500</v>
      </c>
      <c r="S10" s="49">
        <f>R10*(1+Assumptions!E$21)</f>
        <v>119700</v>
      </c>
      <c r="T10" s="49">
        <f>S10*(1+Assumptions!F$21)</f>
        <v>191520</v>
      </c>
      <c r="U10" s="49">
        <f>T10*(1+Assumptions!G$21)</f>
        <v>268128</v>
      </c>
    </row>
    <row r="11" ht="15.75" customHeight="1">
      <c r="J11" s="49"/>
      <c r="K11" s="49"/>
      <c r="L11" s="49"/>
      <c r="M11" s="49"/>
      <c r="N11" s="49"/>
      <c r="P11" s="48" t="str">
        <f t="shared" si="4"/>
        <v/>
      </c>
      <c r="Q11" s="49"/>
      <c r="R11" s="49"/>
      <c r="S11" s="49"/>
      <c r="T11" s="49"/>
      <c r="U11" s="49"/>
    </row>
    <row r="12" ht="15.75" customHeight="1">
      <c r="A12" s="43" t="s">
        <v>139</v>
      </c>
      <c r="C12" s="44">
        <f t="shared" ref="C12:G12" si="5">C4</f>
        <v>2026</v>
      </c>
      <c r="D12" s="44">
        <f t="shared" si="5"/>
        <v>2027</v>
      </c>
      <c r="E12" s="44">
        <f t="shared" si="5"/>
        <v>2028</v>
      </c>
      <c r="F12" s="44">
        <f t="shared" si="5"/>
        <v>2029</v>
      </c>
      <c r="G12" s="44">
        <f t="shared" si="5"/>
        <v>2030</v>
      </c>
      <c r="I12" s="43" t="str">
        <f t="shared" ref="I12:I18" si="8">A12</f>
        <v>Export Sales</v>
      </c>
      <c r="J12" s="44">
        <f t="shared" ref="J12:N12" si="6">C12</f>
        <v>2026</v>
      </c>
      <c r="K12" s="44">
        <f t="shared" si="6"/>
        <v>2027</v>
      </c>
      <c r="L12" s="44">
        <f t="shared" si="6"/>
        <v>2028</v>
      </c>
      <c r="M12" s="44">
        <f t="shared" si="6"/>
        <v>2029</v>
      </c>
      <c r="N12" s="44">
        <f t="shared" si="6"/>
        <v>2030</v>
      </c>
      <c r="P12" s="43" t="str">
        <f t="shared" si="4"/>
        <v>Export Sales</v>
      </c>
      <c r="Q12" s="44">
        <f t="shared" ref="Q12:U12" si="7">Q4</f>
        <v>2026</v>
      </c>
      <c r="R12" s="44">
        <f t="shared" si="7"/>
        <v>2027</v>
      </c>
      <c r="S12" s="44">
        <f t="shared" si="7"/>
        <v>2028</v>
      </c>
      <c r="T12" s="44">
        <f t="shared" si="7"/>
        <v>2029</v>
      </c>
      <c r="U12" s="44">
        <f t="shared" si="7"/>
        <v>2030</v>
      </c>
    </row>
    <row r="13" ht="15.75" customHeight="1">
      <c r="A13" s="48" t="str">
        <f t="shared" ref="A13:A19" si="9">A5</f>
        <v>Royal Matt Emulsion paint</v>
      </c>
      <c r="C13" s="48">
        <f>C5*Assumptions!C$24</f>
        <v>0</v>
      </c>
      <c r="D13" s="48">
        <f>D5*Assumptions!D$24</f>
        <v>9500</v>
      </c>
      <c r="E13" s="48">
        <f>E5*Assumptions!E$24</f>
        <v>21375</v>
      </c>
      <c r="F13" s="48">
        <f>F5*Assumptions!F$24</f>
        <v>34200</v>
      </c>
      <c r="G13" s="48">
        <f>G5*Assumptions!G$24</f>
        <v>57456</v>
      </c>
      <c r="I13" s="48" t="str">
        <f t="shared" si="8"/>
        <v>Royal Matt Emulsion paint</v>
      </c>
      <c r="J13" s="49">
        <f t="shared" ref="J13:J18" si="10">0</f>
        <v>0</v>
      </c>
      <c r="K13" s="49">
        <f>K5*Assumptions!D$24</f>
        <v>11400</v>
      </c>
      <c r="L13" s="49">
        <f>L5*Assumptions!E$24</f>
        <v>25650</v>
      </c>
      <c r="M13" s="49">
        <f>M5*Assumptions!F$24</f>
        <v>41040</v>
      </c>
      <c r="N13" s="49">
        <f>N5*Assumptions!G$24</f>
        <v>68947.2</v>
      </c>
      <c r="P13" s="48" t="str">
        <f t="shared" si="4"/>
        <v>Royal Matt Emulsion paint</v>
      </c>
      <c r="Q13" s="49">
        <f t="shared" ref="Q13:Q18" si="11">0</f>
        <v>0</v>
      </c>
      <c r="R13" s="49">
        <f>R5*Assumptions!D$24</f>
        <v>5700</v>
      </c>
      <c r="S13" s="49">
        <f>S5*Assumptions!E$24</f>
        <v>12825</v>
      </c>
      <c r="T13" s="49">
        <f>T5*Assumptions!F$24</f>
        <v>20520</v>
      </c>
      <c r="U13" s="49">
        <f>U5*Assumptions!G$24</f>
        <v>34473.6</v>
      </c>
    </row>
    <row r="14" ht="15.75" customHeight="1">
      <c r="A14" s="48" t="str">
        <f t="shared" si="9"/>
        <v>Anti-bacterial Interior paint</v>
      </c>
      <c r="C14" s="48">
        <f>C6*Assumptions!C$24</f>
        <v>0</v>
      </c>
      <c r="D14" s="48">
        <f>D6*Assumptions!D$24</f>
        <v>6840</v>
      </c>
      <c r="E14" s="48">
        <f>E6*Assumptions!E$24</f>
        <v>15390</v>
      </c>
      <c r="F14" s="48">
        <f>F6*Assumptions!F$24</f>
        <v>24624</v>
      </c>
      <c r="G14" s="48">
        <f>G6*Assumptions!G$24</f>
        <v>41368.32</v>
      </c>
      <c r="I14" s="48" t="str">
        <f t="shared" si="8"/>
        <v>Anti-bacterial Interior paint</v>
      </c>
      <c r="J14" s="49">
        <f t="shared" si="10"/>
        <v>0</v>
      </c>
      <c r="K14" s="49">
        <f>K6*Assumptions!D$24</f>
        <v>8740</v>
      </c>
      <c r="L14" s="49">
        <f>L6*Assumptions!E$24</f>
        <v>19665</v>
      </c>
      <c r="M14" s="49">
        <f>M6*Assumptions!F$24</f>
        <v>31464</v>
      </c>
      <c r="N14" s="49">
        <f>N6*Assumptions!G$24</f>
        <v>52859.52</v>
      </c>
      <c r="P14" s="48" t="str">
        <f t="shared" si="4"/>
        <v>Anti-bacterial Interior paint</v>
      </c>
      <c r="Q14" s="49">
        <f t="shared" si="11"/>
        <v>0</v>
      </c>
      <c r="R14" s="49">
        <f>R6*Assumptions!D$24</f>
        <v>4940</v>
      </c>
      <c r="S14" s="49">
        <f>S6*Assumptions!E$24</f>
        <v>11115</v>
      </c>
      <c r="T14" s="49">
        <f>T6*Assumptions!F$24</f>
        <v>17784</v>
      </c>
      <c r="U14" s="49">
        <f>U6*Assumptions!G$24</f>
        <v>29877.12</v>
      </c>
    </row>
    <row r="15" ht="15.75" customHeight="1">
      <c r="A15" s="48" t="str">
        <f t="shared" si="9"/>
        <v>Silk emulsion</v>
      </c>
      <c r="C15" s="48">
        <f>C7*Assumptions!C$24</f>
        <v>0</v>
      </c>
      <c r="D15" s="48">
        <f>D7*Assumptions!D$24</f>
        <v>8740</v>
      </c>
      <c r="E15" s="48">
        <f>E7*Assumptions!E$24</f>
        <v>19665</v>
      </c>
      <c r="F15" s="48">
        <f>F7*Assumptions!F$24</f>
        <v>31464</v>
      </c>
      <c r="G15" s="48">
        <f>G7*Assumptions!G$24</f>
        <v>52859.52</v>
      </c>
      <c r="I15" s="48" t="str">
        <f t="shared" si="8"/>
        <v>Silk emulsion</v>
      </c>
      <c r="J15" s="49">
        <f t="shared" si="10"/>
        <v>0</v>
      </c>
      <c r="K15" s="49">
        <f>K7*Assumptions!D$24</f>
        <v>10260</v>
      </c>
      <c r="L15" s="49">
        <f>L7*Assumptions!E$24</f>
        <v>23085</v>
      </c>
      <c r="M15" s="49">
        <f>M7*Assumptions!F$24</f>
        <v>36936</v>
      </c>
      <c r="N15" s="49">
        <f>N7*Assumptions!G$24</f>
        <v>62052.48</v>
      </c>
      <c r="P15" s="48" t="str">
        <f t="shared" si="4"/>
        <v>Silk emulsion</v>
      </c>
      <c r="Q15" s="49">
        <f t="shared" si="11"/>
        <v>0</v>
      </c>
      <c r="R15" s="49">
        <f>R7*Assumptions!D$24</f>
        <v>6460</v>
      </c>
      <c r="S15" s="49">
        <f>S7*Assumptions!E$24</f>
        <v>14535</v>
      </c>
      <c r="T15" s="49">
        <f>T7*Assumptions!F$24</f>
        <v>23256</v>
      </c>
      <c r="U15" s="49">
        <f>U7*Assumptions!G$24</f>
        <v>39070.08</v>
      </c>
    </row>
    <row r="16" ht="15.75" customHeight="1">
      <c r="A16" s="48" t="str">
        <f t="shared" si="9"/>
        <v>Weather resistent exterior paint</v>
      </c>
      <c r="C16" s="48">
        <f>C8*Assumptions!C$24</f>
        <v>0</v>
      </c>
      <c r="D16" s="48">
        <f>D8*Assumptions!D$24</f>
        <v>11400</v>
      </c>
      <c r="E16" s="48">
        <f>E8*Assumptions!E$24</f>
        <v>25650</v>
      </c>
      <c r="F16" s="48">
        <f>F8*Assumptions!F$24</f>
        <v>41040</v>
      </c>
      <c r="G16" s="48">
        <f>G8*Assumptions!G$24</f>
        <v>68947.2</v>
      </c>
      <c r="I16" s="48" t="str">
        <f t="shared" si="8"/>
        <v>Weather resistent exterior paint</v>
      </c>
      <c r="J16" s="49">
        <f t="shared" si="10"/>
        <v>0</v>
      </c>
      <c r="K16" s="49">
        <f>K8*Assumptions!D$24</f>
        <v>13300</v>
      </c>
      <c r="L16" s="49">
        <f>L8*Assumptions!E$24</f>
        <v>29925</v>
      </c>
      <c r="M16" s="49">
        <f>M8*Assumptions!F$24</f>
        <v>47880</v>
      </c>
      <c r="N16" s="49">
        <f>N8*Assumptions!G$24</f>
        <v>80438.4</v>
      </c>
      <c r="P16" s="48" t="str">
        <f t="shared" si="4"/>
        <v>Weather resistent exterior paint</v>
      </c>
      <c r="Q16" s="49">
        <f t="shared" si="11"/>
        <v>0</v>
      </c>
      <c r="R16" s="49">
        <f>R8*Assumptions!D$24</f>
        <v>9500</v>
      </c>
      <c r="S16" s="49">
        <f>S8*Assumptions!E$24</f>
        <v>21375</v>
      </c>
      <c r="T16" s="49">
        <f>T8*Assumptions!F$24</f>
        <v>34200</v>
      </c>
      <c r="U16" s="49">
        <f>U8*Assumptions!G$24</f>
        <v>57456</v>
      </c>
    </row>
    <row r="17" ht="15.75" customHeight="1">
      <c r="A17" s="48" t="str">
        <f t="shared" si="9"/>
        <v>Super primer</v>
      </c>
      <c r="C17" s="48">
        <f>C9*Assumptions!C$24</f>
        <v>0</v>
      </c>
      <c r="D17" s="48">
        <f>D9*Assumptions!D$24</f>
        <v>13300</v>
      </c>
      <c r="E17" s="48">
        <f>E9*Assumptions!E$24</f>
        <v>29925</v>
      </c>
      <c r="F17" s="48">
        <f>F9*Assumptions!F$24</f>
        <v>47880</v>
      </c>
      <c r="G17" s="48">
        <f>G9*Assumptions!G$24</f>
        <v>80438.4</v>
      </c>
      <c r="I17" s="48" t="str">
        <f t="shared" si="8"/>
        <v>Super primer</v>
      </c>
      <c r="J17" s="49">
        <f t="shared" si="10"/>
        <v>0</v>
      </c>
      <c r="K17" s="49">
        <f>K9*Assumptions!D$24</f>
        <v>15200</v>
      </c>
      <c r="L17" s="49">
        <f>L9*Assumptions!E$24</f>
        <v>34200</v>
      </c>
      <c r="M17" s="49">
        <f>M9*Assumptions!F$24</f>
        <v>54720</v>
      </c>
      <c r="N17" s="49">
        <f>N9*Assumptions!G$24</f>
        <v>91929.6</v>
      </c>
      <c r="P17" s="48" t="str">
        <f t="shared" si="4"/>
        <v>Super primer</v>
      </c>
      <c r="Q17" s="49">
        <f t="shared" si="11"/>
        <v>0</v>
      </c>
      <c r="R17" s="49">
        <f>R9*Assumptions!D$24</f>
        <v>11400</v>
      </c>
      <c r="S17" s="49">
        <f>S9*Assumptions!E$24</f>
        <v>25650</v>
      </c>
      <c r="T17" s="49">
        <f>T9*Assumptions!F$24</f>
        <v>41040</v>
      </c>
      <c r="U17" s="49">
        <f>U9*Assumptions!G$24</f>
        <v>68947.2</v>
      </c>
    </row>
    <row r="18" ht="15.75" customHeight="1">
      <c r="A18" s="48" t="str">
        <f t="shared" si="9"/>
        <v>Synthetic Enamel</v>
      </c>
      <c r="C18" s="48">
        <f>C10*Assumptions!C$24</f>
        <v>0</v>
      </c>
      <c r="D18" s="48">
        <f>D10*Assumptions!D$24</f>
        <v>15200</v>
      </c>
      <c r="E18" s="48">
        <f>E10*Assumptions!E$24</f>
        <v>34200</v>
      </c>
      <c r="F18" s="48">
        <f>F10*Assumptions!F$24</f>
        <v>54720</v>
      </c>
      <c r="G18" s="48">
        <f>G10*Assumptions!G$24</f>
        <v>91929.6</v>
      </c>
      <c r="I18" s="48" t="str">
        <f t="shared" si="8"/>
        <v>Synthetic Enamel</v>
      </c>
      <c r="J18" s="49">
        <f t="shared" si="10"/>
        <v>0</v>
      </c>
      <c r="K18" s="49">
        <f>K10*Assumptions!D$24</f>
        <v>17100</v>
      </c>
      <c r="L18" s="49">
        <f>L10*Assumptions!E$24</f>
        <v>38475</v>
      </c>
      <c r="M18" s="49">
        <f>M10*Assumptions!F$24</f>
        <v>61560</v>
      </c>
      <c r="N18" s="49">
        <f>N10*Assumptions!G$24</f>
        <v>103420.8</v>
      </c>
      <c r="P18" s="48" t="str">
        <f t="shared" si="4"/>
        <v>Synthetic Enamel</v>
      </c>
      <c r="Q18" s="49">
        <f t="shared" si="11"/>
        <v>0</v>
      </c>
      <c r="R18" s="49">
        <f>R10*Assumptions!D$24</f>
        <v>13300</v>
      </c>
      <c r="S18" s="49">
        <f>S10*Assumptions!E$24</f>
        <v>29925</v>
      </c>
      <c r="T18" s="49">
        <f>T10*Assumptions!F$24</f>
        <v>47880</v>
      </c>
      <c r="U18" s="49">
        <f>U10*Assumptions!G$24</f>
        <v>80438.4</v>
      </c>
    </row>
    <row r="19" ht="15.75" customHeight="1">
      <c r="A19" s="48" t="str">
        <f t="shared" si="9"/>
        <v/>
      </c>
      <c r="J19" s="49"/>
      <c r="K19" s="49"/>
      <c r="L19" s="49"/>
      <c r="M19" s="49"/>
      <c r="N19" s="49"/>
      <c r="P19" s="48" t="str">
        <f t="shared" si="4"/>
        <v/>
      </c>
      <c r="Q19" s="49"/>
      <c r="R19" s="49"/>
      <c r="S19" s="49"/>
      <c r="T19" s="49"/>
      <c r="U19" s="49"/>
    </row>
    <row r="20" ht="15.75" customHeight="1">
      <c r="A20" s="43" t="s">
        <v>140</v>
      </c>
      <c r="C20" s="44">
        <f t="shared" ref="C20:G20" si="12">C12</f>
        <v>2026</v>
      </c>
      <c r="D20" s="44">
        <f t="shared" si="12"/>
        <v>2027</v>
      </c>
      <c r="E20" s="44">
        <f t="shared" si="12"/>
        <v>2028</v>
      </c>
      <c r="F20" s="44">
        <f t="shared" si="12"/>
        <v>2029</v>
      </c>
      <c r="G20" s="44">
        <f t="shared" si="12"/>
        <v>2030</v>
      </c>
      <c r="I20" s="43" t="str">
        <f t="shared" ref="I20:I26" si="16">A20</f>
        <v>Local sales</v>
      </c>
      <c r="J20" s="44">
        <f t="shared" ref="J20:N20" si="13">C20</f>
        <v>2026</v>
      </c>
      <c r="K20" s="44">
        <f t="shared" si="13"/>
        <v>2027</v>
      </c>
      <c r="L20" s="44">
        <f t="shared" si="13"/>
        <v>2028</v>
      </c>
      <c r="M20" s="44">
        <f t="shared" si="13"/>
        <v>2029</v>
      </c>
      <c r="N20" s="44">
        <f t="shared" si="13"/>
        <v>2030</v>
      </c>
      <c r="P20" s="43" t="str">
        <f t="shared" si="4"/>
        <v>Local sales</v>
      </c>
      <c r="Q20" s="44">
        <f t="shared" ref="Q20:U20" si="14">Q12</f>
        <v>2026</v>
      </c>
      <c r="R20" s="44">
        <f t="shared" si="14"/>
        <v>2027</v>
      </c>
      <c r="S20" s="44">
        <f t="shared" si="14"/>
        <v>2028</v>
      </c>
      <c r="T20" s="44">
        <f t="shared" si="14"/>
        <v>2029</v>
      </c>
      <c r="U20" s="44">
        <f t="shared" si="14"/>
        <v>2030</v>
      </c>
    </row>
    <row r="21" ht="15.75" customHeight="1">
      <c r="A21" s="48" t="str">
        <f t="shared" ref="A21:A26" si="19">A13</f>
        <v>Royal Matt Emulsion paint</v>
      </c>
      <c r="C21" s="48">
        <f t="shared" ref="C21:C26" si="20">C5</f>
        <v>25000</v>
      </c>
      <c r="D21" s="48">
        <f t="shared" ref="D21:G21" si="15">D5-D13</f>
        <v>38000</v>
      </c>
      <c r="E21" s="48">
        <f t="shared" si="15"/>
        <v>64125</v>
      </c>
      <c r="F21" s="48">
        <f t="shared" si="15"/>
        <v>102600</v>
      </c>
      <c r="G21" s="48">
        <f t="shared" si="15"/>
        <v>134064</v>
      </c>
      <c r="I21" s="48" t="str">
        <f t="shared" si="16"/>
        <v>Royal Matt Emulsion paint</v>
      </c>
      <c r="J21" s="49">
        <f t="shared" ref="J21:J26" si="22">J5</f>
        <v>30000</v>
      </c>
      <c r="K21" s="49">
        <f t="shared" ref="K21:N21" si="17">K5-K13</f>
        <v>45600</v>
      </c>
      <c r="L21" s="49">
        <f t="shared" si="17"/>
        <v>76950</v>
      </c>
      <c r="M21" s="49">
        <f t="shared" si="17"/>
        <v>123120</v>
      </c>
      <c r="N21" s="49">
        <f t="shared" si="17"/>
        <v>160876.8</v>
      </c>
      <c r="P21" s="48" t="str">
        <f t="shared" si="4"/>
        <v>Royal Matt Emulsion paint</v>
      </c>
      <c r="Q21" s="49">
        <f t="shared" ref="Q21:U21" si="18">Q5-Q13</f>
        <v>15000</v>
      </c>
      <c r="R21" s="49">
        <f t="shared" si="18"/>
        <v>22800</v>
      </c>
      <c r="S21" s="49">
        <f t="shared" si="18"/>
        <v>38475</v>
      </c>
      <c r="T21" s="49">
        <f t="shared" si="18"/>
        <v>61560</v>
      </c>
      <c r="U21" s="49">
        <f t="shared" si="18"/>
        <v>80438.4</v>
      </c>
    </row>
    <row r="22" ht="15.75" customHeight="1">
      <c r="A22" s="48" t="str">
        <f t="shared" si="19"/>
        <v>Anti-bacterial Interior paint</v>
      </c>
      <c r="C22" s="48">
        <f t="shared" si="20"/>
        <v>18000</v>
      </c>
      <c r="D22" s="48">
        <f t="shared" ref="D22:G22" si="21">D6-D14</f>
        <v>27360</v>
      </c>
      <c r="E22" s="48">
        <f t="shared" si="21"/>
        <v>46170</v>
      </c>
      <c r="F22" s="48">
        <f t="shared" si="21"/>
        <v>73872</v>
      </c>
      <c r="G22" s="48">
        <f t="shared" si="21"/>
        <v>96526.08</v>
      </c>
      <c r="I22" s="48" t="str">
        <f t="shared" si="16"/>
        <v>Anti-bacterial Interior paint</v>
      </c>
      <c r="J22" s="49">
        <f t="shared" si="22"/>
        <v>23000</v>
      </c>
      <c r="K22" s="49">
        <f t="shared" ref="K22:N22" si="23">K6-K14</f>
        <v>34960</v>
      </c>
      <c r="L22" s="49">
        <f t="shared" si="23"/>
        <v>58995</v>
      </c>
      <c r="M22" s="49">
        <f t="shared" si="23"/>
        <v>94392</v>
      </c>
      <c r="N22" s="49">
        <f t="shared" si="23"/>
        <v>123338.88</v>
      </c>
      <c r="P22" s="48" t="str">
        <f t="shared" si="4"/>
        <v>Anti-bacterial Interior paint</v>
      </c>
      <c r="Q22" s="49">
        <f t="shared" ref="Q22:U22" si="24">Q6-Q14</f>
        <v>13000</v>
      </c>
      <c r="R22" s="49">
        <f t="shared" si="24"/>
        <v>19760</v>
      </c>
      <c r="S22" s="49">
        <f t="shared" si="24"/>
        <v>33345</v>
      </c>
      <c r="T22" s="49">
        <f t="shared" si="24"/>
        <v>53352</v>
      </c>
      <c r="U22" s="49">
        <f t="shared" si="24"/>
        <v>69713.28</v>
      </c>
    </row>
    <row r="23" ht="15.75" customHeight="1">
      <c r="A23" s="48" t="str">
        <f t="shared" si="19"/>
        <v>Silk emulsion</v>
      </c>
      <c r="C23" s="48">
        <f t="shared" si="20"/>
        <v>23000</v>
      </c>
      <c r="D23" s="48">
        <f t="shared" ref="D23:G23" si="25">D7-D15</f>
        <v>34960</v>
      </c>
      <c r="E23" s="48">
        <f t="shared" si="25"/>
        <v>58995</v>
      </c>
      <c r="F23" s="48">
        <f t="shared" si="25"/>
        <v>94392</v>
      </c>
      <c r="G23" s="48">
        <f t="shared" si="25"/>
        <v>123338.88</v>
      </c>
      <c r="I23" s="48" t="str">
        <f t="shared" si="16"/>
        <v>Silk emulsion</v>
      </c>
      <c r="J23" s="49">
        <f t="shared" si="22"/>
        <v>27000</v>
      </c>
      <c r="K23" s="49">
        <f t="shared" ref="K23:N23" si="26">K7-K15</f>
        <v>41040</v>
      </c>
      <c r="L23" s="49">
        <f t="shared" si="26"/>
        <v>69255</v>
      </c>
      <c r="M23" s="49">
        <f t="shared" si="26"/>
        <v>110808</v>
      </c>
      <c r="N23" s="49">
        <f t="shared" si="26"/>
        <v>144789.12</v>
      </c>
      <c r="P23" s="48" t="str">
        <f t="shared" si="4"/>
        <v>Silk emulsion</v>
      </c>
      <c r="Q23" s="49">
        <f t="shared" ref="Q23:U23" si="27">Q7-Q15</f>
        <v>17000</v>
      </c>
      <c r="R23" s="49">
        <f t="shared" si="27"/>
        <v>25840</v>
      </c>
      <c r="S23" s="49">
        <f t="shared" si="27"/>
        <v>43605</v>
      </c>
      <c r="T23" s="49">
        <f t="shared" si="27"/>
        <v>69768</v>
      </c>
      <c r="U23" s="49">
        <f t="shared" si="27"/>
        <v>91163.52</v>
      </c>
    </row>
    <row r="24" ht="15.75" customHeight="1">
      <c r="A24" s="48" t="str">
        <f t="shared" si="19"/>
        <v>Weather resistent exterior paint</v>
      </c>
      <c r="C24" s="48">
        <f t="shared" si="20"/>
        <v>30000</v>
      </c>
      <c r="D24" s="48">
        <f t="shared" ref="D24:G24" si="28">D8-D16</f>
        <v>45600</v>
      </c>
      <c r="E24" s="48">
        <f t="shared" si="28"/>
        <v>76950</v>
      </c>
      <c r="F24" s="48">
        <f t="shared" si="28"/>
        <v>123120</v>
      </c>
      <c r="G24" s="48">
        <f t="shared" si="28"/>
        <v>160876.8</v>
      </c>
      <c r="I24" s="48" t="str">
        <f t="shared" si="16"/>
        <v>Weather resistent exterior paint</v>
      </c>
      <c r="J24" s="49">
        <f t="shared" si="22"/>
        <v>35000</v>
      </c>
      <c r="K24" s="49">
        <f t="shared" ref="K24:N24" si="29">K8-K16</f>
        <v>53200</v>
      </c>
      <c r="L24" s="49">
        <f t="shared" si="29"/>
        <v>89775</v>
      </c>
      <c r="M24" s="49">
        <f t="shared" si="29"/>
        <v>143640</v>
      </c>
      <c r="N24" s="49">
        <f t="shared" si="29"/>
        <v>187689.6</v>
      </c>
      <c r="P24" s="48" t="str">
        <f t="shared" si="4"/>
        <v>Weather resistent exterior paint</v>
      </c>
      <c r="Q24" s="49">
        <f t="shared" ref="Q24:U24" si="30">Q8-Q16</f>
        <v>25000</v>
      </c>
      <c r="R24" s="49">
        <f t="shared" si="30"/>
        <v>38000</v>
      </c>
      <c r="S24" s="49">
        <f t="shared" si="30"/>
        <v>64125</v>
      </c>
      <c r="T24" s="49">
        <f t="shared" si="30"/>
        <v>102600</v>
      </c>
      <c r="U24" s="49">
        <f t="shared" si="30"/>
        <v>134064</v>
      </c>
    </row>
    <row r="25" ht="15.75" customHeight="1">
      <c r="A25" s="48" t="str">
        <f t="shared" si="19"/>
        <v>Super primer</v>
      </c>
      <c r="C25" s="48">
        <f t="shared" si="20"/>
        <v>35000</v>
      </c>
      <c r="D25" s="48">
        <f t="shared" ref="D25:G25" si="31">D9-D17</f>
        <v>53200</v>
      </c>
      <c r="E25" s="48">
        <f t="shared" si="31"/>
        <v>89775</v>
      </c>
      <c r="F25" s="48">
        <f t="shared" si="31"/>
        <v>143640</v>
      </c>
      <c r="G25" s="48">
        <f t="shared" si="31"/>
        <v>187689.6</v>
      </c>
      <c r="I25" s="48" t="str">
        <f t="shared" si="16"/>
        <v>Super primer</v>
      </c>
      <c r="J25" s="49">
        <f t="shared" si="22"/>
        <v>40000</v>
      </c>
      <c r="K25" s="49">
        <f t="shared" ref="K25:N25" si="32">K9-K17</f>
        <v>60800</v>
      </c>
      <c r="L25" s="49">
        <f t="shared" si="32"/>
        <v>102600</v>
      </c>
      <c r="M25" s="49">
        <f t="shared" si="32"/>
        <v>164160</v>
      </c>
      <c r="N25" s="49">
        <f t="shared" si="32"/>
        <v>214502.4</v>
      </c>
      <c r="P25" s="48" t="str">
        <f t="shared" si="4"/>
        <v>Super primer</v>
      </c>
      <c r="Q25" s="49">
        <f t="shared" ref="Q25:U25" si="33">Q9-Q17</f>
        <v>30000</v>
      </c>
      <c r="R25" s="49">
        <f t="shared" si="33"/>
        <v>45600</v>
      </c>
      <c r="S25" s="49">
        <f t="shared" si="33"/>
        <v>76950</v>
      </c>
      <c r="T25" s="49">
        <f t="shared" si="33"/>
        <v>123120</v>
      </c>
      <c r="U25" s="49">
        <f t="shared" si="33"/>
        <v>160876.8</v>
      </c>
    </row>
    <row r="26" ht="15.75" customHeight="1">
      <c r="A26" s="48" t="str">
        <f t="shared" si="19"/>
        <v>Synthetic Enamel</v>
      </c>
      <c r="C26" s="48">
        <f t="shared" si="20"/>
        <v>40000</v>
      </c>
      <c r="D26" s="48">
        <f t="shared" ref="D26:G26" si="34">D10-D18</f>
        <v>60800</v>
      </c>
      <c r="E26" s="48">
        <f t="shared" si="34"/>
        <v>102600</v>
      </c>
      <c r="F26" s="48">
        <f t="shared" si="34"/>
        <v>164160</v>
      </c>
      <c r="G26" s="48">
        <f t="shared" si="34"/>
        <v>214502.4</v>
      </c>
      <c r="I26" s="48" t="str">
        <f t="shared" si="16"/>
        <v>Synthetic Enamel</v>
      </c>
      <c r="J26" s="49">
        <f t="shared" si="22"/>
        <v>45000</v>
      </c>
      <c r="K26" s="49">
        <f t="shared" ref="K26:N26" si="35">K10-K18</f>
        <v>68400</v>
      </c>
      <c r="L26" s="49">
        <f t="shared" si="35"/>
        <v>115425</v>
      </c>
      <c r="M26" s="49">
        <f t="shared" si="35"/>
        <v>184680</v>
      </c>
      <c r="N26" s="49">
        <f t="shared" si="35"/>
        <v>241315.2</v>
      </c>
      <c r="P26" s="48" t="str">
        <f t="shared" si="4"/>
        <v>Synthetic Enamel</v>
      </c>
      <c r="Q26" s="49">
        <f t="shared" ref="Q26:U26" si="36">Q10-Q18</f>
        <v>35000</v>
      </c>
      <c r="R26" s="49">
        <f t="shared" si="36"/>
        <v>53200</v>
      </c>
      <c r="S26" s="49">
        <f t="shared" si="36"/>
        <v>89775</v>
      </c>
      <c r="T26" s="49">
        <f t="shared" si="36"/>
        <v>143640</v>
      </c>
      <c r="U26" s="49">
        <f t="shared" si="36"/>
        <v>187689.6</v>
      </c>
    </row>
    <row r="27" ht="15.75" customHeight="1">
      <c r="J27" s="49"/>
      <c r="K27" s="49"/>
      <c r="L27" s="49"/>
      <c r="M27" s="49"/>
      <c r="N27" s="49"/>
      <c r="P27" s="48" t="str">
        <f t="shared" si="4"/>
        <v/>
      </c>
      <c r="Q27" s="49"/>
      <c r="R27" s="49"/>
      <c r="S27" s="49"/>
      <c r="T27" s="49"/>
      <c r="U27" s="49"/>
    </row>
    <row r="28" ht="15.75" customHeight="1">
      <c r="A28" s="99" t="s">
        <v>141</v>
      </c>
      <c r="I28" s="97" t="str">
        <f>A28</f>
        <v>Sales Price</v>
      </c>
      <c r="J28" s="49"/>
      <c r="K28" s="49"/>
      <c r="L28" s="49"/>
      <c r="M28" s="49"/>
      <c r="N28" s="49"/>
      <c r="P28" s="97" t="str">
        <f t="shared" si="4"/>
        <v>Sales Price</v>
      </c>
      <c r="Q28" s="49"/>
      <c r="R28" s="49"/>
      <c r="S28" s="49"/>
      <c r="T28" s="49"/>
      <c r="U28" s="49"/>
    </row>
    <row r="29" ht="15.75" customHeight="1">
      <c r="J29" s="49"/>
      <c r="K29" s="49"/>
      <c r="L29" s="49"/>
      <c r="M29" s="49"/>
      <c r="N29" s="49"/>
      <c r="P29" s="48" t="str">
        <f t="shared" si="4"/>
        <v/>
      </c>
      <c r="Q29" s="49"/>
      <c r="R29" s="49"/>
      <c r="S29" s="49"/>
      <c r="T29" s="49"/>
      <c r="U29" s="49"/>
    </row>
    <row r="30" ht="15.75" customHeight="1">
      <c r="A30" s="43" t="s">
        <v>139</v>
      </c>
      <c r="C30" s="44">
        <f t="shared" ref="C30:G30" si="37">C20</f>
        <v>2026</v>
      </c>
      <c r="D30" s="44">
        <f t="shared" si="37"/>
        <v>2027</v>
      </c>
      <c r="E30" s="44">
        <f t="shared" si="37"/>
        <v>2028</v>
      </c>
      <c r="F30" s="44">
        <f t="shared" si="37"/>
        <v>2029</v>
      </c>
      <c r="G30" s="44">
        <f t="shared" si="37"/>
        <v>2030</v>
      </c>
      <c r="I30" s="43" t="str">
        <f t="shared" ref="I30:I36" si="40">A30</f>
        <v>Export Sales</v>
      </c>
      <c r="J30" s="44">
        <f t="shared" ref="J30:N30" si="38">C30</f>
        <v>2026</v>
      </c>
      <c r="K30" s="44">
        <f t="shared" si="38"/>
        <v>2027</v>
      </c>
      <c r="L30" s="44">
        <f t="shared" si="38"/>
        <v>2028</v>
      </c>
      <c r="M30" s="44">
        <f t="shared" si="38"/>
        <v>2029</v>
      </c>
      <c r="N30" s="44">
        <f t="shared" si="38"/>
        <v>2030</v>
      </c>
      <c r="P30" s="43" t="str">
        <f t="shared" si="4"/>
        <v>Export Sales</v>
      </c>
      <c r="Q30" s="44">
        <f t="shared" ref="Q30:U30" si="39">Q20</f>
        <v>2026</v>
      </c>
      <c r="R30" s="44">
        <f t="shared" si="39"/>
        <v>2027</v>
      </c>
      <c r="S30" s="44">
        <f t="shared" si="39"/>
        <v>2028</v>
      </c>
      <c r="T30" s="44">
        <f t="shared" si="39"/>
        <v>2029</v>
      </c>
      <c r="U30" s="44">
        <f t="shared" si="39"/>
        <v>2030</v>
      </c>
    </row>
    <row r="31" ht="15.75" customHeight="1">
      <c r="A31" s="48" t="str">
        <f t="shared" ref="A31:A36" si="41">A21</f>
        <v>Royal Matt Emulsion paint</v>
      </c>
      <c r="C31" s="100">
        <f>Assumptions!E12</f>
        <v>59.48421053</v>
      </c>
      <c r="D31" s="100">
        <f>C31*(1+Assumptions!D$23)</f>
        <v>61.26873684</v>
      </c>
      <c r="E31" s="100">
        <f>D31*(1+Assumptions!E$23)</f>
        <v>63.10679895</v>
      </c>
      <c r="F31" s="100">
        <f>E31*(1+Assumptions!F$23)</f>
        <v>64.68446892</v>
      </c>
      <c r="G31" s="100">
        <f>F31*(1+Assumptions!G$23)</f>
        <v>66.94842533</v>
      </c>
      <c r="I31" s="48" t="str">
        <f t="shared" si="40"/>
        <v>Royal Matt Emulsion paint</v>
      </c>
      <c r="J31" s="51">
        <f>Assumptions!K12</f>
        <v>15.41052632</v>
      </c>
      <c r="K31" s="51">
        <f>J31*(1+Assumptions!D$23)</f>
        <v>15.87284211</v>
      </c>
      <c r="L31" s="51">
        <f>K31*(1+Assumptions!E$23)</f>
        <v>16.34902737</v>
      </c>
      <c r="M31" s="51">
        <f>L31*(1+Assumptions!F$23)</f>
        <v>16.75775305</v>
      </c>
      <c r="N31" s="51">
        <f>M31*(1+Assumptions!G$23)</f>
        <v>17.34427441</v>
      </c>
      <c r="P31" s="48" t="str">
        <f t="shared" si="4"/>
        <v>Royal Matt Emulsion paint</v>
      </c>
      <c r="Q31" s="51">
        <f>Assumptions!Q12</f>
        <v>4.003508772</v>
      </c>
      <c r="R31" s="51">
        <f>Q31*(1+Assumptions!D$23)</f>
        <v>4.123614035</v>
      </c>
      <c r="S31" s="51">
        <f>R31*(1+Assumptions!E$23)</f>
        <v>4.247322456</v>
      </c>
      <c r="T31" s="51">
        <f>S31*(1+Assumptions!F$23)</f>
        <v>4.353505518</v>
      </c>
      <c r="U31" s="51">
        <f>T31*(1+Assumptions!G$23)</f>
        <v>4.505878211</v>
      </c>
    </row>
    <row r="32" ht="15.75" customHeight="1">
      <c r="A32" s="48" t="str">
        <f t="shared" si="41"/>
        <v>Anti-bacterial Interior paint</v>
      </c>
      <c r="C32" s="100">
        <f>Assumptions!E13</f>
        <v>97.68421053</v>
      </c>
      <c r="D32" s="100">
        <f>C32*(1+Assumptions!D$23)</f>
        <v>100.6147368</v>
      </c>
      <c r="E32" s="100">
        <f>D32*(1+Assumptions!E$23)</f>
        <v>103.6331789</v>
      </c>
      <c r="F32" s="100">
        <f>E32*(1+Assumptions!F$23)</f>
        <v>106.2240084</v>
      </c>
      <c r="G32" s="100">
        <f>F32*(1+Assumptions!G$23)</f>
        <v>109.9418487</v>
      </c>
      <c r="I32" s="48" t="str">
        <f t="shared" si="40"/>
        <v>Anti-bacterial Interior paint</v>
      </c>
      <c r="J32" s="51">
        <f>Assumptions!K13</f>
        <v>24.42105263</v>
      </c>
      <c r="K32" s="51">
        <f>J32*(1+Assumptions!D$23)</f>
        <v>25.15368421</v>
      </c>
      <c r="L32" s="51">
        <f>K32*(1+Assumptions!E$23)</f>
        <v>25.90829474</v>
      </c>
      <c r="M32" s="51">
        <f>L32*(1+Assumptions!F$23)</f>
        <v>26.55600211</v>
      </c>
      <c r="N32" s="51">
        <f>M32*(1+Assumptions!G$23)</f>
        <v>27.48546218</v>
      </c>
      <c r="P32" s="48" t="str">
        <f t="shared" si="4"/>
        <v>Anti-bacterial Interior paint</v>
      </c>
      <c r="Q32" s="51">
        <f>Assumptions!Q13</f>
        <v>6.105263158</v>
      </c>
      <c r="R32" s="51">
        <f>Q32*(1+Assumptions!D$23)</f>
        <v>6.288421053</v>
      </c>
      <c r="S32" s="51">
        <f>R32*(1+Assumptions!E$23)</f>
        <v>6.477073684</v>
      </c>
      <c r="T32" s="51">
        <f>S32*(1+Assumptions!F$23)</f>
        <v>6.639000526</v>
      </c>
      <c r="U32" s="51">
        <f>T32*(1+Assumptions!G$23)</f>
        <v>6.871365545</v>
      </c>
    </row>
    <row r="33" ht="15.75" customHeight="1">
      <c r="A33" s="48" t="str">
        <f t="shared" si="41"/>
        <v>Silk emulsion</v>
      </c>
      <c r="C33" s="100">
        <f>Assumptions!E14</f>
        <v>64.71929825</v>
      </c>
      <c r="D33" s="100">
        <f>C33*(1+Assumptions!D$23)</f>
        <v>66.66087719</v>
      </c>
      <c r="E33" s="100">
        <f>D33*(1+Assumptions!E$23)</f>
        <v>68.66070351</v>
      </c>
      <c r="F33" s="100">
        <f>E33*(1+Assumptions!F$23)</f>
        <v>70.3772211</v>
      </c>
      <c r="G33" s="100">
        <f>F33*(1+Assumptions!G$23)</f>
        <v>72.84042383</v>
      </c>
      <c r="I33" s="48" t="str">
        <f t="shared" si="40"/>
        <v>Silk emulsion</v>
      </c>
      <c r="J33" s="51">
        <f>Assumptions!K14</f>
        <v>16.78947368</v>
      </c>
      <c r="K33" s="51">
        <f>J33*(1+Assumptions!D$23)</f>
        <v>17.29315789</v>
      </c>
      <c r="L33" s="51">
        <f>K33*(1+Assumptions!E$23)</f>
        <v>17.81195263</v>
      </c>
      <c r="M33" s="51">
        <f>L33*(1+Assumptions!F$23)</f>
        <v>18.25725145</v>
      </c>
      <c r="N33" s="51">
        <f>M33*(1+Assumptions!G$23)</f>
        <v>18.89625525</v>
      </c>
      <c r="P33" s="48" t="str">
        <f t="shared" si="4"/>
        <v>Silk emulsion</v>
      </c>
      <c r="Q33" s="51">
        <f>Assumptions!Q14</f>
        <v>4.196491228</v>
      </c>
      <c r="R33" s="51">
        <f>Q33*(1+Assumptions!D$23)</f>
        <v>4.322385965</v>
      </c>
      <c r="S33" s="51">
        <f>R33*(1+Assumptions!E$23)</f>
        <v>4.452057544</v>
      </c>
      <c r="T33" s="51">
        <f>S33*(1+Assumptions!F$23)</f>
        <v>4.563358982</v>
      </c>
      <c r="U33" s="51">
        <f>T33*(1+Assumptions!G$23)</f>
        <v>4.723076547</v>
      </c>
    </row>
    <row r="34" ht="15.75" customHeight="1">
      <c r="A34" s="48" t="str">
        <f t="shared" si="41"/>
        <v>Weather resistent exterior paint</v>
      </c>
      <c r="C34" s="100">
        <f>Assumptions!E15</f>
        <v>46.20350877</v>
      </c>
      <c r="D34" s="100">
        <f>C34*(1+Assumptions!D$23)</f>
        <v>47.58961404</v>
      </c>
      <c r="E34" s="100">
        <f>D34*(1+Assumptions!E$23)</f>
        <v>49.01730246</v>
      </c>
      <c r="F34" s="100">
        <f>E34*(1+Assumptions!F$23)</f>
        <v>50.24273502</v>
      </c>
      <c r="G34" s="100">
        <f>F34*(1+Assumptions!G$23)</f>
        <v>52.00123074</v>
      </c>
      <c r="I34" s="48" t="str">
        <f t="shared" si="40"/>
        <v>Weather resistent exterior paint</v>
      </c>
      <c r="J34" s="51">
        <f>Assumptions!K15</f>
        <v>12.03508772</v>
      </c>
      <c r="K34" s="51">
        <f>J34*(1+Assumptions!D$23)</f>
        <v>12.39614035</v>
      </c>
      <c r="L34" s="51">
        <f>K34*(1+Assumptions!E$23)</f>
        <v>12.76802456</v>
      </c>
      <c r="M34" s="51">
        <f>L34*(1+Assumptions!F$23)</f>
        <v>13.08722518</v>
      </c>
      <c r="N34" s="51">
        <f>M34*(1+Assumptions!G$23)</f>
        <v>13.54527806</v>
      </c>
      <c r="P34" s="48" t="str">
        <f t="shared" si="4"/>
        <v>Weather resistent exterior paint</v>
      </c>
      <c r="Q34" s="51">
        <f>Assumptions!Q15</f>
        <v>3.263157895</v>
      </c>
      <c r="R34" s="51">
        <f>Q34*(1+Assumptions!D$23)</f>
        <v>3.361052632</v>
      </c>
      <c r="S34" s="51">
        <f>R34*(1+Assumptions!E$23)</f>
        <v>3.461884211</v>
      </c>
      <c r="T34" s="51">
        <f>S34*(1+Assumptions!F$23)</f>
        <v>3.548431316</v>
      </c>
      <c r="U34" s="51">
        <f>T34*(1+Assumptions!G$23)</f>
        <v>3.672626412</v>
      </c>
    </row>
    <row r="35" ht="15.75" customHeight="1">
      <c r="A35" s="48" t="str">
        <f t="shared" si="41"/>
        <v>Super primer</v>
      </c>
      <c r="C35" s="100">
        <f>Assumptions!E16</f>
        <v>18.12280702</v>
      </c>
      <c r="D35" s="100">
        <f>C35*(1+Assumptions!D$23)</f>
        <v>18.66649123</v>
      </c>
      <c r="E35" s="100">
        <f>D35*(1+Assumptions!E$23)</f>
        <v>19.22648596</v>
      </c>
      <c r="F35" s="100">
        <f>E35*(1+Assumptions!F$23)</f>
        <v>19.70714811</v>
      </c>
      <c r="G35" s="100">
        <f>F35*(1+Assumptions!G$23)</f>
        <v>20.3968983</v>
      </c>
      <c r="I35" s="48" t="str">
        <f t="shared" si="40"/>
        <v>Super primer</v>
      </c>
      <c r="J35" s="51">
        <f>Assumptions!K16</f>
        <v>4.803508772</v>
      </c>
      <c r="K35" s="51">
        <f>J35*(1+Assumptions!D$23)</f>
        <v>4.947614035</v>
      </c>
      <c r="L35" s="51">
        <f>K35*(1+Assumptions!E$23)</f>
        <v>5.096042456</v>
      </c>
      <c r="M35" s="51">
        <f>L35*(1+Assumptions!F$23)</f>
        <v>5.223443518</v>
      </c>
      <c r="N35" s="51">
        <f>M35*(1+Assumptions!G$23)</f>
        <v>5.406264041</v>
      </c>
      <c r="P35" s="48" t="str">
        <f t="shared" si="4"/>
        <v>Super primer</v>
      </c>
      <c r="Q35" s="51">
        <f>Assumptions!Q16</f>
        <v>1.2</v>
      </c>
      <c r="R35" s="51">
        <f>Q35*(1+Assumptions!D$23)</f>
        <v>1.236</v>
      </c>
      <c r="S35" s="51">
        <f>R35*(1+Assumptions!E$23)</f>
        <v>1.27308</v>
      </c>
      <c r="T35" s="51">
        <f>S35*(1+Assumptions!F$23)</f>
        <v>1.304907</v>
      </c>
      <c r="U35" s="51">
        <f>T35*(1+Assumptions!G$23)</f>
        <v>1.350578745</v>
      </c>
    </row>
    <row r="36" ht="15.75" customHeight="1">
      <c r="A36" s="48" t="str">
        <f t="shared" si="41"/>
        <v>Synthetic Enamel</v>
      </c>
      <c r="C36" s="100">
        <f>Assumptions!E17</f>
        <v>56.02807018</v>
      </c>
      <c r="D36" s="100">
        <f>C36*(1+Assumptions!D$23)</f>
        <v>57.70891228</v>
      </c>
      <c r="E36" s="100">
        <f>D36*(1+Assumptions!E$23)</f>
        <v>59.44017965</v>
      </c>
      <c r="F36" s="100">
        <f>E36*(1+Assumptions!F$23)</f>
        <v>60.92618414</v>
      </c>
      <c r="G36" s="100">
        <f>F36*(1+Assumptions!G$23)</f>
        <v>63.05860059</v>
      </c>
      <c r="I36" s="48" t="str">
        <f t="shared" si="40"/>
        <v>Synthetic Enamel</v>
      </c>
      <c r="J36" s="51">
        <f>Assumptions!K17</f>
        <v>14.00701754</v>
      </c>
      <c r="K36" s="51">
        <f>J36*(1+Assumptions!D$23)</f>
        <v>14.42722807</v>
      </c>
      <c r="L36" s="51">
        <f>K36*(1+Assumptions!E$23)</f>
        <v>14.86004491</v>
      </c>
      <c r="M36" s="51">
        <f>L36*(1+Assumptions!F$23)</f>
        <v>15.23154604</v>
      </c>
      <c r="N36" s="51">
        <f>M36*(1+Assumptions!G$23)</f>
        <v>15.76465015</v>
      </c>
      <c r="P36" s="48" t="str">
        <f t="shared" si="4"/>
        <v>Synthetic Enamel</v>
      </c>
      <c r="Q36" s="51">
        <f>Assumptions!Q17</f>
        <v>3.501754386</v>
      </c>
      <c r="R36" s="51">
        <f>Q36*(1+Assumptions!D$23)</f>
        <v>3.606807018</v>
      </c>
      <c r="S36" s="51">
        <f>R36*(1+Assumptions!E$23)</f>
        <v>3.715011228</v>
      </c>
      <c r="T36" s="51">
        <f>S36*(1+Assumptions!F$23)</f>
        <v>3.807886509</v>
      </c>
      <c r="U36" s="51">
        <f>T36*(1+Assumptions!G$23)</f>
        <v>3.941162537</v>
      </c>
    </row>
    <row r="37" ht="15.75" customHeight="1">
      <c r="J37" s="49"/>
      <c r="K37" s="49"/>
      <c r="L37" s="49"/>
      <c r="M37" s="49"/>
      <c r="N37" s="49"/>
      <c r="P37" s="48" t="str">
        <f t="shared" si="4"/>
        <v/>
      </c>
      <c r="Q37" s="49"/>
      <c r="R37" s="49"/>
      <c r="S37" s="49"/>
      <c r="T37" s="49"/>
      <c r="U37" s="49"/>
    </row>
    <row r="38" ht="15.75" customHeight="1">
      <c r="A38" s="43" t="s">
        <v>142</v>
      </c>
      <c r="C38" s="44">
        <f t="shared" ref="C38:G38" si="42">C30</f>
        <v>2026</v>
      </c>
      <c r="D38" s="44">
        <f t="shared" si="42"/>
        <v>2027</v>
      </c>
      <c r="E38" s="44">
        <f t="shared" si="42"/>
        <v>2028</v>
      </c>
      <c r="F38" s="44">
        <f t="shared" si="42"/>
        <v>2029</v>
      </c>
      <c r="G38" s="44">
        <f t="shared" si="42"/>
        <v>2030</v>
      </c>
      <c r="I38" s="43" t="str">
        <f t="shared" ref="I38:I44" si="45">A38</f>
        <v>Local Sales</v>
      </c>
      <c r="J38" s="44">
        <f t="shared" ref="J38:N38" si="43">C38</f>
        <v>2026</v>
      </c>
      <c r="K38" s="44">
        <f t="shared" si="43"/>
        <v>2027</v>
      </c>
      <c r="L38" s="44">
        <f t="shared" si="43"/>
        <v>2028</v>
      </c>
      <c r="M38" s="44">
        <f t="shared" si="43"/>
        <v>2029</v>
      </c>
      <c r="N38" s="44">
        <f t="shared" si="43"/>
        <v>2030</v>
      </c>
      <c r="P38" s="43" t="str">
        <f t="shared" si="4"/>
        <v>Local Sales</v>
      </c>
      <c r="Q38" s="44">
        <f t="shared" ref="Q38:U38" si="44">Q30</f>
        <v>2026</v>
      </c>
      <c r="R38" s="44">
        <f t="shared" si="44"/>
        <v>2027</v>
      </c>
      <c r="S38" s="44">
        <f t="shared" si="44"/>
        <v>2028</v>
      </c>
      <c r="T38" s="44">
        <f t="shared" si="44"/>
        <v>2029</v>
      </c>
      <c r="U38" s="44">
        <f t="shared" si="44"/>
        <v>2030</v>
      </c>
    </row>
    <row r="39" ht="15.75" customHeight="1">
      <c r="A39" s="48" t="str">
        <f t="shared" ref="A39:A44" si="46">A31</f>
        <v>Royal Matt Emulsion paint</v>
      </c>
      <c r="C39" s="48">
        <f>Assumptions!D12</f>
        <v>16953</v>
      </c>
      <c r="D39" s="60">
        <f>C39*(1+Assumptions!D$22)</f>
        <v>18648.3</v>
      </c>
      <c r="E39" s="60">
        <f>D39*(1+Assumptions!E$22)</f>
        <v>20326.647</v>
      </c>
      <c r="F39" s="60">
        <f>E39*(1+Assumptions!F$22)</f>
        <v>21952.77876</v>
      </c>
      <c r="G39" s="60">
        <f>F39*(1+Assumptions!G$22)</f>
        <v>23489.47327</v>
      </c>
      <c r="I39" s="48" t="str">
        <f t="shared" si="45"/>
        <v>Royal Matt Emulsion paint</v>
      </c>
      <c r="J39" s="49">
        <f>Assumptions!J12</f>
        <v>4392</v>
      </c>
      <c r="K39" s="65">
        <f>J39*( 1+Assumptions!D$22)</f>
        <v>4831.2</v>
      </c>
      <c r="L39" s="65">
        <f>K39*(1+Assumptions!E$22)</f>
        <v>5266.008</v>
      </c>
      <c r="M39" s="65">
        <f>L39*(1+Assumptions!F$22)</f>
        <v>5687.28864</v>
      </c>
      <c r="N39" s="65">
        <f>M39*(1+Assumptions!G$22)</f>
        <v>6085.398845</v>
      </c>
      <c r="P39" s="48" t="str">
        <f t="shared" si="4"/>
        <v>Royal Matt Emulsion paint</v>
      </c>
      <c r="Q39" s="49">
        <f>Assumptions!P12</f>
        <v>1141</v>
      </c>
      <c r="R39" s="51">
        <f>Q39*(1+Assumptions!D$22)</f>
        <v>1255.1</v>
      </c>
      <c r="S39" s="51">
        <f>R39*(1+Assumptions!E$22)</f>
        <v>1368.059</v>
      </c>
      <c r="T39" s="51">
        <f>S39*(1+Assumptions!F$22)</f>
        <v>1477.50372</v>
      </c>
      <c r="U39" s="51">
        <f>T39*(1+Assumptions!G$22)</f>
        <v>1580.92898</v>
      </c>
    </row>
    <row r="40" ht="15.75" customHeight="1">
      <c r="A40" s="48" t="str">
        <f t="shared" si="46"/>
        <v>Anti-bacterial Interior paint</v>
      </c>
      <c r="C40" s="101">
        <f>Assumptions!D13</f>
        <v>27840</v>
      </c>
      <c r="D40" s="60">
        <f>C40*(1+Assumptions!D$22)</f>
        <v>30624</v>
      </c>
      <c r="E40" s="60">
        <f>D40*(1+Assumptions!E$22)</f>
        <v>33380.16</v>
      </c>
      <c r="F40" s="60">
        <f>E40*(1+Assumptions!F$22)</f>
        <v>36050.5728</v>
      </c>
      <c r="G40" s="60">
        <f>F40*(1+Assumptions!G$22)</f>
        <v>38574.1129</v>
      </c>
      <c r="I40" s="48" t="str">
        <f t="shared" si="45"/>
        <v>Anti-bacterial Interior paint</v>
      </c>
      <c r="J40" s="49">
        <f>Assumptions!J13</f>
        <v>6960</v>
      </c>
      <c r="K40" s="65">
        <f>J40*(1+Assumptions!D$22)</f>
        <v>7656</v>
      </c>
      <c r="L40" s="65">
        <f>K40*(1+Assumptions!E$22)</f>
        <v>8345.04</v>
      </c>
      <c r="M40" s="65">
        <f>L40*(1+Assumptions!F$22)</f>
        <v>9012.6432</v>
      </c>
      <c r="N40" s="65">
        <f>M40*(1+Assumptions!G$22)</f>
        <v>9643.528224</v>
      </c>
      <c r="P40" s="48" t="str">
        <f t="shared" si="4"/>
        <v>Anti-bacterial Interior paint</v>
      </c>
      <c r="Q40" s="49">
        <f>Assumptions!P13</f>
        <v>1740</v>
      </c>
      <c r="R40" s="51">
        <f>Q40*(1+Assumptions!D$22)</f>
        <v>1914</v>
      </c>
      <c r="S40" s="51">
        <f>R40*(1+Assumptions!E$22)</f>
        <v>2086.26</v>
      </c>
      <c r="T40" s="51">
        <f>S40*(1+Assumptions!F$22)</f>
        <v>2253.1608</v>
      </c>
      <c r="U40" s="51">
        <f>T40*(1+Assumptions!G$22)</f>
        <v>2410.882056</v>
      </c>
    </row>
    <row r="41" ht="15.75" customHeight="1">
      <c r="A41" s="48" t="str">
        <f t="shared" si="46"/>
        <v>Silk emulsion</v>
      </c>
      <c r="C41" s="101">
        <f>Assumptions!D14</f>
        <v>18445</v>
      </c>
      <c r="D41" s="60">
        <f>C41*(1+Assumptions!D$22)</f>
        <v>20289.5</v>
      </c>
      <c r="E41" s="60">
        <f>D41*(1+Assumptions!E$22)</f>
        <v>22115.555</v>
      </c>
      <c r="F41" s="60">
        <f>E41*(1+Assumptions!F$22)</f>
        <v>23884.7994</v>
      </c>
      <c r="G41" s="60">
        <f>F41*(1+Assumptions!G$22)</f>
        <v>25556.73536</v>
      </c>
      <c r="I41" s="48" t="str">
        <f t="shared" si="45"/>
        <v>Silk emulsion</v>
      </c>
      <c r="J41" s="49">
        <f>Assumptions!J14</f>
        <v>4785</v>
      </c>
      <c r="K41" s="65">
        <f>J41*(1+Assumptions!D$22)</f>
        <v>5263.5</v>
      </c>
      <c r="L41" s="65">
        <f>K41*(1+Assumptions!E$22)</f>
        <v>5737.215</v>
      </c>
      <c r="M41" s="65">
        <f>L41*(1+Assumptions!F$22)</f>
        <v>6196.1922</v>
      </c>
      <c r="N41" s="65">
        <f>M41*(1+Assumptions!G$22)</f>
        <v>6629.925654</v>
      </c>
      <c r="P41" s="48" t="str">
        <f t="shared" si="4"/>
        <v>Silk emulsion</v>
      </c>
      <c r="Q41" s="49">
        <f>Assumptions!P14</f>
        <v>1196</v>
      </c>
      <c r="R41" s="51">
        <f>Q41*(1+Assumptions!D$22)</f>
        <v>1315.6</v>
      </c>
      <c r="S41" s="51">
        <f>R41*(1+Assumptions!E$22)</f>
        <v>1434.004</v>
      </c>
      <c r="T41" s="51">
        <f>S41*(1+Assumptions!F$22)</f>
        <v>1548.72432</v>
      </c>
      <c r="U41" s="51">
        <f>T41*(1+Assumptions!G$22)</f>
        <v>1657.135022</v>
      </c>
    </row>
    <row r="42" ht="15.75" customHeight="1">
      <c r="A42" s="48" t="str">
        <f t="shared" si="46"/>
        <v>Weather resistent exterior paint</v>
      </c>
      <c r="C42" s="101">
        <f>Assumptions!D15</f>
        <v>13168</v>
      </c>
      <c r="D42" s="60">
        <f>C42*(1+Assumptions!D$22)</f>
        <v>14484.8</v>
      </c>
      <c r="E42" s="60">
        <f>D42*(1+Assumptions!E$22)</f>
        <v>15788.432</v>
      </c>
      <c r="F42" s="60">
        <f>E42*(1+Assumptions!F$22)</f>
        <v>17051.50656</v>
      </c>
      <c r="G42" s="60">
        <f>F42*(1+Assumptions!G$22)</f>
        <v>18245.11202</v>
      </c>
      <c r="I42" s="48" t="str">
        <f t="shared" si="45"/>
        <v>Weather resistent exterior paint</v>
      </c>
      <c r="J42" s="49">
        <f>Assumptions!J15</f>
        <v>3430</v>
      </c>
      <c r="K42" s="65">
        <f>J42*(1+Assumptions!D$22)</f>
        <v>3773</v>
      </c>
      <c r="L42" s="65">
        <f>K42*(1+Assumptions!E$22)</f>
        <v>4112.57</v>
      </c>
      <c r="M42" s="65">
        <f>L42*(1+Assumptions!F$22)</f>
        <v>4441.5756</v>
      </c>
      <c r="N42" s="65">
        <f>M42*(1+Assumptions!G$22)</f>
        <v>4752.485892</v>
      </c>
      <c r="P42" s="48" t="str">
        <f t="shared" si="4"/>
        <v>Weather resistent exterior paint</v>
      </c>
      <c r="Q42" s="49">
        <f>Assumptions!P15</f>
        <v>930</v>
      </c>
      <c r="R42" s="51">
        <f>Q42*(1+Assumptions!D$22)</f>
        <v>1023</v>
      </c>
      <c r="S42" s="51">
        <f>R42*(1+Assumptions!E$22)</f>
        <v>1115.07</v>
      </c>
      <c r="T42" s="51">
        <f>S42*(1+Assumptions!F$22)</f>
        <v>1204.2756</v>
      </c>
      <c r="U42" s="51">
        <f>T42*(1+Assumptions!G$22)</f>
        <v>1288.574892</v>
      </c>
    </row>
    <row r="43" ht="15.75" customHeight="1">
      <c r="A43" s="48" t="str">
        <f t="shared" si="46"/>
        <v>Super primer</v>
      </c>
      <c r="C43" s="101">
        <f>Assumptions!D16</f>
        <v>5165</v>
      </c>
      <c r="D43" s="60">
        <f>C43*(1+Assumptions!D$22)</f>
        <v>5681.5</v>
      </c>
      <c r="E43" s="60">
        <f>D43*(1+Assumptions!E$22)</f>
        <v>6192.835</v>
      </c>
      <c r="F43" s="60">
        <f>E43*(1+Assumptions!F$22)</f>
        <v>6688.2618</v>
      </c>
      <c r="G43" s="60">
        <f>F43*(1+Assumptions!G$22)</f>
        <v>7156.440126</v>
      </c>
      <c r="I43" s="48" t="str">
        <f t="shared" si="45"/>
        <v>Super primer</v>
      </c>
      <c r="J43" s="49">
        <f>Assumptions!J16</f>
        <v>1369</v>
      </c>
      <c r="K43" s="65">
        <f>J43*(1+Assumptions!D$22)</f>
        <v>1505.9</v>
      </c>
      <c r="L43" s="65">
        <f>K43*(1+Assumptions!E$22)</f>
        <v>1641.431</v>
      </c>
      <c r="M43" s="65">
        <f>L43*(1+Assumptions!F$22)</f>
        <v>1772.74548</v>
      </c>
      <c r="N43" s="65">
        <f>M43*(1+Assumptions!G$22)</f>
        <v>1896.837664</v>
      </c>
      <c r="P43" s="48" t="str">
        <f t="shared" si="4"/>
        <v>Super primer</v>
      </c>
      <c r="Q43" s="49">
        <f>Assumptions!P16</f>
        <v>342</v>
      </c>
      <c r="R43" s="51">
        <f>Q43*(1+Assumptions!D$22)</f>
        <v>376.2</v>
      </c>
      <c r="S43" s="51">
        <f>R43*(1+Assumptions!E$22)</f>
        <v>410.058</v>
      </c>
      <c r="T43" s="51">
        <f>S43*(1+Assumptions!F$22)</f>
        <v>442.86264</v>
      </c>
      <c r="U43" s="51">
        <f>T43*(1+Assumptions!G$22)</f>
        <v>473.8630248</v>
      </c>
    </row>
    <row r="44" ht="15.75" customHeight="1">
      <c r="A44" s="48" t="str">
        <f t="shared" si="46"/>
        <v>Synthetic Enamel</v>
      </c>
      <c r="C44" s="101">
        <f>Assumptions!D17</f>
        <v>15968</v>
      </c>
      <c r="D44" s="60">
        <f>C44*(1+Assumptions!D$22)</f>
        <v>17564.8</v>
      </c>
      <c r="E44" s="60">
        <f>D44*(1+Assumptions!E$22)</f>
        <v>19145.632</v>
      </c>
      <c r="F44" s="60">
        <f>E44*(1+Assumptions!F$22)</f>
        <v>20677.28256</v>
      </c>
      <c r="G44" s="60">
        <f>F44*(1+Assumptions!G$22)</f>
        <v>22124.69234</v>
      </c>
      <c r="I44" s="48" t="str">
        <f t="shared" si="45"/>
        <v>Synthetic Enamel</v>
      </c>
      <c r="J44" s="49">
        <f>Assumptions!J17</f>
        <v>3992</v>
      </c>
      <c r="K44" s="65">
        <f>J44*(1+Assumptions!D$22)</f>
        <v>4391.2</v>
      </c>
      <c r="L44" s="65">
        <f>K44*(1+Assumptions!E$22)</f>
        <v>4786.408</v>
      </c>
      <c r="M44" s="65">
        <f>L44*(1+Assumptions!F$22)</f>
        <v>5169.32064</v>
      </c>
      <c r="N44" s="65">
        <f>M44*(1+Assumptions!G$22)</f>
        <v>5531.173085</v>
      </c>
      <c r="P44" s="48" t="str">
        <f t="shared" si="4"/>
        <v>Synthetic Enamel</v>
      </c>
      <c r="Q44" s="49">
        <f>Assumptions!P17</f>
        <v>998</v>
      </c>
      <c r="R44" s="51">
        <f>Q44*(1+Assumptions!D$22)</f>
        <v>1097.8</v>
      </c>
      <c r="S44" s="51">
        <f>R44*(1+Assumptions!E$22)</f>
        <v>1196.602</v>
      </c>
      <c r="T44" s="51">
        <f>S44*(1+Assumptions!F$22)</f>
        <v>1292.33016</v>
      </c>
      <c r="U44" s="51">
        <f>T44*(1+Assumptions!G$22)</f>
        <v>1382.793271</v>
      </c>
    </row>
    <row r="45" ht="15.75" customHeight="1">
      <c r="J45" s="49"/>
      <c r="K45" s="49"/>
      <c r="L45" s="49"/>
      <c r="M45" s="49"/>
      <c r="N45" s="49"/>
      <c r="P45" s="48" t="str">
        <f t="shared" si="4"/>
        <v/>
      </c>
      <c r="Q45" s="49"/>
      <c r="R45" s="49"/>
      <c r="S45" s="49"/>
      <c r="T45" s="49"/>
      <c r="U45" s="49"/>
    </row>
    <row r="46" ht="15.75" customHeight="1">
      <c r="A46" s="43" t="s">
        <v>143</v>
      </c>
      <c r="C46" s="44">
        <f t="shared" ref="C46:G46" si="47">C38</f>
        <v>2026</v>
      </c>
      <c r="D46" s="44">
        <f t="shared" si="47"/>
        <v>2027</v>
      </c>
      <c r="E46" s="44">
        <f t="shared" si="47"/>
        <v>2028</v>
      </c>
      <c r="F46" s="44">
        <f t="shared" si="47"/>
        <v>2029</v>
      </c>
      <c r="G46" s="44">
        <f t="shared" si="47"/>
        <v>2030</v>
      </c>
      <c r="I46" s="43" t="str">
        <f t="shared" ref="I46:I52" si="51">A46</f>
        <v>Export Revenue PKR Mn</v>
      </c>
      <c r="J46" s="44">
        <f t="shared" ref="J46:N46" si="48">C46</f>
        <v>2026</v>
      </c>
      <c r="K46" s="44">
        <f t="shared" si="48"/>
        <v>2027</v>
      </c>
      <c r="L46" s="44">
        <f t="shared" si="48"/>
        <v>2028</v>
      </c>
      <c r="M46" s="44">
        <f t="shared" si="48"/>
        <v>2029</v>
      </c>
      <c r="N46" s="44">
        <f t="shared" si="48"/>
        <v>2030</v>
      </c>
      <c r="P46" s="43" t="str">
        <f t="shared" si="4"/>
        <v>Export Revenue PKR Mn</v>
      </c>
      <c r="Q46" s="44">
        <f t="shared" ref="Q46:U46" si="49">Q38</f>
        <v>2026</v>
      </c>
      <c r="R46" s="44">
        <f t="shared" si="49"/>
        <v>2027</v>
      </c>
      <c r="S46" s="44">
        <f t="shared" si="49"/>
        <v>2028</v>
      </c>
      <c r="T46" s="44">
        <f t="shared" si="49"/>
        <v>2029</v>
      </c>
      <c r="U46" s="44">
        <f t="shared" si="49"/>
        <v>2030</v>
      </c>
    </row>
    <row r="47" ht="15.75" customHeight="1">
      <c r="A47" s="48" t="str">
        <f t="shared" ref="A47:A52" si="54">A39</f>
        <v>Royal Matt Emulsion paint</v>
      </c>
      <c r="C47" s="48">
        <f t="shared" ref="C47:G47" si="50">C31*C13/1000000</f>
        <v>0</v>
      </c>
      <c r="D47" s="100">
        <f t="shared" si="50"/>
        <v>0.582053</v>
      </c>
      <c r="E47" s="100">
        <f t="shared" si="50"/>
        <v>1.348907828</v>
      </c>
      <c r="F47" s="100">
        <f t="shared" si="50"/>
        <v>2.212208837</v>
      </c>
      <c r="G47" s="100">
        <f t="shared" si="50"/>
        <v>3.846588726</v>
      </c>
      <c r="I47" s="48" t="str">
        <f t="shared" si="51"/>
        <v>Royal Matt Emulsion paint</v>
      </c>
      <c r="J47" s="51">
        <f t="shared" ref="J47:N47" si="52">J31*J13/1000000</f>
        <v>0</v>
      </c>
      <c r="K47" s="51">
        <f t="shared" si="52"/>
        <v>0.1809504</v>
      </c>
      <c r="L47" s="51">
        <f t="shared" si="52"/>
        <v>0.419352552</v>
      </c>
      <c r="M47" s="51">
        <f t="shared" si="52"/>
        <v>0.6877381853</v>
      </c>
      <c r="N47" s="51">
        <f t="shared" si="52"/>
        <v>1.195839157</v>
      </c>
      <c r="P47" s="48" t="str">
        <f t="shared" si="4"/>
        <v>Royal Matt Emulsion paint</v>
      </c>
      <c r="Q47" s="49">
        <f t="shared" ref="Q47:Q52" si="57">0</f>
        <v>0</v>
      </c>
      <c r="R47" s="62">
        <f t="shared" ref="R47:U47" si="53">R31*R13/1000000</f>
        <v>0.0235046</v>
      </c>
      <c r="S47" s="62">
        <f t="shared" si="53"/>
        <v>0.0544719105</v>
      </c>
      <c r="T47" s="62">
        <f t="shared" si="53"/>
        <v>0.08933393322</v>
      </c>
      <c r="U47" s="62">
        <f t="shared" si="53"/>
        <v>0.1553338431</v>
      </c>
    </row>
    <row r="48" ht="15.75" customHeight="1">
      <c r="A48" s="48" t="str">
        <f t="shared" si="54"/>
        <v>Anti-bacterial Interior paint</v>
      </c>
      <c r="C48" s="48">
        <f t="shared" ref="C48:G48" si="55">C32*C14/1000000</f>
        <v>0</v>
      </c>
      <c r="D48" s="100">
        <f t="shared" si="55"/>
        <v>0.6882048</v>
      </c>
      <c r="E48" s="100">
        <f t="shared" si="55"/>
        <v>1.594914624</v>
      </c>
      <c r="F48" s="100">
        <f t="shared" si="55"/>
        <v>2.615659983</v>
      </c>
      <c r="G48" s="100">
        <f t="shared" si="55"/>
        <v>4.548109579</v>
      </c>
      <c r="I48" s="48" t="str">
        <f t="shared" si="51"/>
        <v>Anti-bacterial Interior paint</v>
      </c>
      <c r="J48" s="51">
        <f t="shared" ref="J48:N48" si="56">J32*J14/1000000</f>
        <v>0</v>
      </c>
      <c r="K48" s="51">
        <f t="shared" si="56"/>
        <v>0.2198432</v>
      </c>
      <c r="L48" s="51">
        <f t="shared" si="56"/>
        <v>0.509486616</v>
      </c>
      <c r="M48" s="51">
        <f t="shared" si="56"/>
        <v>0.8355580502</v>
      </c>
      <c r="N48" s="51">
        <f t="shared" si="56"/>
        <v>1.452868338</v>
      </c>
      <c r="P48" s="48" t="str">
        <f t="shared" si="4"/>
        <v>Anti-bacterial Interior paint</v>
      </c>
      <c r="Q48" s="49">
        <f t="shared" si="57"/>
        <v>0</v>
      </c>
      <c r="R48" s="62">
        <f t="shared" ref="R48:U48" si="58">R32*R14/1000000</f>
        <v>0.0310648</v>
      </c>
      <c r="S48" s="62">
        <f t="shared" si="58"/>
        <v>0.071992674</v>
      </c>
      <c r="T48" s="62">
        <f t="shared" si="58"/>
        <v>0.1180679854</v>
      </c>
      <c r="U48" s="62">
        <f t="shared" si="58"/>
        <v>0.2052966129</v>
      </c>
    </row>
    <row r="49" ht="15.75" customHeight="1">
      <c r="A49" s="48" t="str">
        <f t="shared" si="54"/>
        <v>Silk emulsion</v>
      </c>
      <c r="C49" s="48">
        <f t="shared" ref="C49:G49" si="59">C33*C15/1000000</f>
        <v>0</v>
      </c>
      <c r="D49" s="100">
        <f t="shared" si="59"/>
        <v>0.5826160667</v>
      </c>
      <c r="E49" s="100">
        <f t="shared" si="59"/>
        <v>1.350212735</v>
      </c>
      <c r="F49" s="100">
        <f t="shared" si="59"/>
        <v>2.214348885</v>
      </c>
      <c r="G49" s="100">
        <f t="shared" si="59"/>
        <v>3.850309841</v>
      </c>
      <c r="I49" s="48" t="str">
        <f t="shared" si="51"/>
        <v>Silk emulsion</v>
      </c>
      <c r="J49" s="51">
        <f t="shared" ref="J49:N49" si="60">J33*J15/1000000</f>
        <v>0</v>
      </c>
      <c r="K49" s="51">
        <f t="shared" si="60"/>
        <v>0.1774278</v>
      </c>
      <c r="L49" s="51">
        <f t="shared" si="60"/>
        <v>0.4111889265</v>
      </c>
      <c r="M49" s="51">
        <f t="shared" si="60"/>
        <v>0.6743498395</v>
      </c>
      <c r="N49" s="51">
        <f t="shared" si="60"/>
        <v>1.172559501</v>
      </c>
      <c r="P49" s="48" t="str">
        <f t="shared" si="4"/>
        <v>Silk emulsion</v>
      </c>
      <c r="Q49" s="49">
        <f t="shared" si="57"/>
        <v>0</v>
      </c>
      <c r="R49" s="62">
        <f t="shared" ref="R49:U49" si="61">R33*R15/1000000</f>
        <v>0.02792261333</v>
      </c>
      <c r="S49" s="62">
        <f t="shared" si="61"/>
        <v>0.0647106564</v>
      </c>
      <c r="T49" s="62">
        <f t="shared" si="61"/>
        <v>0.1061254765</v>
      </c>
      <c r="U49" s="62">
        <f t="shared" si="61"/>
        <v>0.1845309785</v>
      </c>
    </row>
    <row r="50" ht="15.75" customHeight="1">
      <c r="A50" s="48" t="str">
        <f t="shared" si="54"/>
        <v>Weather resistent exterior paint</v>
      </c>
      <c r="C50" s="48">
        <f t="shared" ref="C50:G50" si="62">C34*C16/1000000</f>
        <v>0</v>
      </c>
      <c r="D50" s="100">
        <f t="shared" si="62"/>
        <v>0.5425216</v>
      </c>
      <c r="E50" s="100">
        <f t="shared" si="62"/>
        <v>1.257293808</v>
      </c>
      <c r="F50" s="100">
        <f t="shared" si="62"/>
        <v>2.061961845</v>
      </c>
      <c r="G50" s="100">
        <f t="shared" si="62"/>
        <v>3.585339256</v>
      </c>
      <c r="I50" s="48" t="str">
        <f t="shared" si="51"/>
        <v>Weather resistent exterior paint</v>
      </c>
      <c r="J50" s="51">
        <f t="shared" ref="J50:N50" si="63">J34*J16/1000000</f>
        <v>0</v>
      </c>
      <c r="K50" s="51">
        <f t="shared" si="63"/>
        <v>0.1648686667</v>
      </c>
      <c r="L50" s="51">
        <f t="shared" si="63"/>
        <v>0.382083135</v>
      </c>
      <c r="M50" s="51">
        <f t="shared" si="63"/>
        <v>0.6266163414</v>
      </c>
      <c r="N50" s="51">
        <f t="shared" si="63"/>
        <v>1.089560494</v>
      </c>
      <c r="P50" s="48" t="str">
        <f t="shared" si="4"/>
        <v>Weather resistent exterior paint</v>
      </c>
      <c r="Q50" s="49">
        <f t="shared" si="57"/>
        <v>0</v>
      </c>
      <c r="R50" s="62">
        <f t="shared" ref="R50:U50" si="64">R34*R16/1000000</f>
        <v>0.03193</v>
      </c>
      <c r="S50" s="62">
        <f t="shared" si="64"/>
        <v>0.073997775</v>
      </c>
      <c r="T50" s="62">
        <f t="shared" si="64"/>
        <v>0.121356351</v>
      </c>
      <c r="U50" s="62">
        <f t="shared" si="64"/>
        <v>0.2110144231</v>
      </c>
    </row>
    <row r="51" ht="15.75" customHeight="1">
      <c r="A51" s="48" t="str">
        <f t="shared" si="54"/>
        <v>Super primer</v>
      </c>
      <c r="C51" s="48">
        <f t="shared" ref="C51:G51" si="65">C35*C17/1000000</f>
        <v>0</v>
      </c>
      <c r="D51" s="100">
        <f t="shared" si="65"/>
        <v>0.2482643333</v>
      </c>
      <c r="E51" s="100">
        <f t="shared" si="65"/>
        <v>0.5753525925</v>
      </c>
      <c r="F51" s="100">
        <f t="shared" si="65"/>
        <v>0.9435782517</v>
      </c>
      <c r="G51" s="100">
        <f t="shared" si="65"/>
        <v>1.640693864</v>
      </c>
      <c r="I51" s="48" t="str">
        <f t="shared" si="51"/>
        <v>Super primer</v>
      </c>
      <c r="J51" s="51">
        <f t="shared" ref="J51:N51" si="66">J35*J17/1000000</f>
        <v>0</v>
      </c>
      <c r="K51" s="51">
        <f t="shared" si="66"/>
        <v>0.07520373333</v>
      </c>
      <c r="L51" s="51">
        <f t="shared" si="66"/>
        <v>0.174284652</v>
      </c>
      <c r="M51" s="51">
        <f t="shared" si="66"/>
        <v>0.2858268293</v>
      </c>
      <c r="N51" s="51">
        <f t="shared" si="66"/>
        <v>0.4969956908</v>
      </c>
      <c r="P51" s="48" t="str">
        <f t="shared" si="4"/>
        <v>Super primer</v>
      </c>
      <c r="Q51" s="49">
        <f t="shared" si="57"/>
        <v>0</v>
      </c>
      <c r="R51" s="62">
        <f t="shared" ref="R51:U51" si="67">R35*R17/1000000</f>
        <v>0.0140904</v>
      </c>
      <c r="S51" s="62">
        <f t="shared" si="67"/>
        <v>0.032654502</v>
      </c>
      <c r="T51" s="62">
        <f t="shared" si="67"/>
        <v>0.05355338328</v>
      </c>
      <c r="U51" s="62">
        <f t="shared" si="67"/>
        <v>0.09311862285</v>
      </c>
    </row>
    <row r="52" ht="15.75" customHeight="1">
      <c r="A52" s="48" t="str">
        <f t="shared" si="54"/>
        <v>Synthetic Enamel</v>
      </c>
      <c r="C52" s="48">
        <f t="shared" ref="C52:G52" si="68">C36*C18/1000000</f>
        <v>0</v>
      </c>
      <c r="D52" s="100">
        <f t="shared" si="68"/>
        <v>0.8771754667</v>
      </c>
      <c r="E52" s="100">
        <f t="shared" si="68"/>
        <v>2.032854144</v>
      </c>
      <c r="F52" s="100">
        <f t="shared" si="68"/>
        <v>3.333880796</v>
      </c>
      <c r="G52" s="100">
        <f t="shared" si="68"/>
        <v>5.796951928</v>
      </c>
      <c r="I52" s="48" t="str">
        <f t="shared" si="51"/>
        <v>Synthetic Enamel</v>
      </c>
      <c r="J52" s="51">
        <f t="shared" ref="J52:N52" si="69">J36*J18/1000000</f>
        <v>0</v>
      </c>
      <c r="K52" s="51">
        <f t="shared" si="69"/>
        <v>0.2467056</v>
      </c>
      <c r="L52" s="51">
        <f t="shared" si="69"/>
        <v>0.571740228</v>
      </c>
      <c r="M52" s="51">
        <f t="shared" si="69"/>
        <v>0.9376539739</v>
      </c>
      <c r="N52" s="51">
        <f t="shared" si="69"/>
        <v>1.63039273</v>
      </c>
      <c r="P52" s="48" t="str">
        <f t="shared" si="4"/>
        <v>Synthetic Enamel</v>
      </c>
      <c r="Q52" s="49">
        <f t="shared" si="57"/>
        <v>0</v>
      </c>
      <c r="R52" s="62">
        <f t="shared" ref="R52:U52" si="70">R36*R18/1000000</f>
        <v>0.04797053333</v>
      </c>
      <c r="S52" s="62">
        <f t="shared" si="70"/>
        <v>0.111171711</v>
      </c>
      <c r="T52" s="62">
        <f t="shared" si="70"/>
        <v>0.182321606</v>
      </c>
      <c r="U52" s="62">
        <f t="shared" si="70"/>
        <v>0.3170208086</v>
      </c>
    </row>
    <row r="53" ht="15.75" customHeight="1">
      <c r="J53" s="49"/>
      <c r="K53" s="49"/>
      <c r="L53" s="49"/>
      <c r="M53" s="49"/>
      <c r="N53" s="49"/>
      <c r="P53" s="48" t="str">
        <f t="shared" si="4"/>
        <v/>
      </c>
      <c r="Q53" s="49"/>
      <c r="R53" s="49"/>
      <c r="S53" s="49"/>
      <c r="T53" s="49"/>
      <c r="U53" s="49"/>
    </row>
    <row r="54" ht="15.75" customHeight="1">
      <c r="A54" s="43" t="s">
        <v>144</v>
      </c>
      <c r="C54" s="44">
        <f t="shared" ref="C54:G54" si="71">C46</f>
        <v>2026</v>
      </c>
      <c r="D54" s="44">
        <f t="shared" si="71"/>
        <v>2027</v>
      </c>
      <c r="E54" s="44">
        <f t="shared" si="71"/>
        <v>2028</v>
      </c>
      <c r="F54" s="44">
        <f t="shared" si="71"/>
        <v>2029</v>
      </c>
      <c r="G54" s="44">
        <f t="shared" si="71"/>
        <v>2030</v>
      </c>
      <c r="I54" s="43" t="str">
        <f t="shared" ref="I54:I60" si="75">A54</f>
        <v>Local Revenue PKR Mn</v>
      </c>
      <c r="J54" s="44">
        <f t="shared" ref="J54:N54" si="72">C54</f>
        <v>2026</v>
      </c>
      <c r="K54" s="44">
        <f t="shared" si="72"/>
        <v>2027</v>
      </c>
      <c r="L54" s="44">
        <f t="shared" si="72"/>
        <v>2028</v>
      </c>
      <c r="M54" s="44">
        <f t="shared" si="72"/>
        <v>2029</v>
      </c>
      <c r="N54" s="44">
        <f t="shared" si="72"/>
        <v>2030</v>
      </c>
      <c r="P54" s="43" t="str">
        <f t="shared" si="4"/>
        <v>Local Revenue PKR Mn</v>
      </c>
      <c r="Q54" s="44">
        <f t="shared" ref="Q54:U54" si="73">Q46</f>
        <v>2026</v>
      </c>
      <c r="R54" s="44">
        <f t="shared" si="73"/>
        <v>2027</v>
      </c>
      <c r="S54" s="44">
        <f t="shared" si="73"/>
        <v>2028</v>
      </c>
      <c r="T54" s="44">
        <f t="shared" si="73"/>
        <v>2029</v>
      </c>
      <c r="U54" s="44">
        <f t="shared" si="73"/>
        <v>2030</v>
      </c>
    </row>
    <row r="55" ht="15.75" customHeight="1">
      <c r="A55" s="48" t="str">
        <f t="shared" ref="A55:A60" si="78">A47</f>
        <v>Royal Matt Emulsion paint</v>
      </c>
      <c r="C55" s="100">
        <f t="shared" ref="C55:G55" si="74">C39*C21/1000000</f>
        <v>423.825</v>
      </c>
      <c r="D55" s="100">
        <f t="shared" si="74"/>
        <v>708.6354</v>
      </c>
      <c r="E55" s="100">
        <f t="shared" si="74"/>
        <v>1303.446239</v>
      </c>
      <c r="F55" s="100">
        <f t="shared" si="74"/>
        <v>2252.355101</v>
      </c>
      <c r="G55" s="100">
        <f t="shared" si="74"/>
        <v>3149.092745</v>
      </c>
      <c r="I55" s="48" t="str">
        <f t="shared" si="75"/>
        <v>Royal Matt Emulsion paint</v>
      </c>
      <c r="J55" s="51">
        <f t="shared" ref="J55:N55" si="76">J21*J39/1000000</f>
        <v>131.76</v>
      </c>
      <c r="K55" s="51">
        <f t="shared" si="76"/>
        <v>220.30272</v>
      </c>
      <c r="L55" s="51">
        <f t="shared" si="76"/>
        <v>405.2193156</v>
      </c>
      <c r="M55" s="51">
        <f t="shared" si="76"/>
        <v>700.2189774</v>
      </c>
      <c r="N55" s="51">
        <f t="shared" si="76"/>
        <v>978.9994929</v>
      </c>
      <c r="P55" s="48" t="str">
        <f t="shared" si="4"/>
        <v>Royal Matt Emulsion paint</v>
      </c>
      <c r="Q55" s="62">
        <f t="shared" ref="Q55:U55" si="77">Q39*Q21/1000000</f>
        <v>17.115</v>
      </c>
      <c r="R55" s="62">
        <f t="shared" si="77"/>
        <v>28.61628</v>
      </c>
      <c r="S55" s="62">
        <f t="shared" si="77"/>
        <v>52.63607003</v>
      </c>
      <c r="T55" s="62">
        <f t="shared" si="77"/>
        <v>90.955129</v>
      </c>
      <c r="U55" s="62">
        <f t="shared" si="77"/>
        <v>127.1673977</v>
      </c>
    </row>
    <row r="56" ht="15.75" customHeight="1">
      <c r="A56" s="48" t="str">
        <f t="shared" si="78"/>
        <v>Anti-bacterial Interior paint</v>
      </c>
      <c r="C56" s="100">
        <f t="shared" ref="C56:G56" si="79">C40*C22/1000000</f>
        <v>501.12</v>
      </c>
      <c r="D56" s="100">
        <f t="shared" si="79"/>
        <v>837.87264</v>
      </c>
      <c r="E56" s="100">
        <f t="shared" si="79"/>
        <v>1541.161987</v>
      </c>
      <c r="F56" s="100">
        <f t="shared" si="79"/>
        <v>2663.127914</v>
      </c>
      <c r="G56" s="100">
        <f t="shared" si="79"/>
        <v>3723.407907</v>
      </c>
      <c r="I56" s="48" t="str">
        <f t="shared" si="75"/>
        <v>Anti-bacterial Interior paint</v>
      </c>
      <c r="J56" s="51">
        <f t="shared" ref="J56:N56" si="80">J22*J40/1000000</f>
        <v>160.08</v>
      </c>
      <c r="K56" s="51">
        <f t="shared" si="80"/>
        <v>267.65376</v>
      </c>
      <c r="L56" s="51">
        <f t="shared" si="80"/>
        <v>492.3156348</v>
      </c>
      <c r="M56" s="51">
        <f t="shared" si="80"/>
        <v>850.7214169</v>
      </c>
      <c r="N56" s="51">
        <f t="shared" si="80"/>
        <v>1189.42197</v>
      </c>
      <c r="P56" s="48" t="str">
        <f t="shared" si="4"/>
        <v>Anti-bacterial Interior paint</v>
      </c>
      <c r="Q56" s="62">
        <f t="shared" ref="Q56:U56" si="81">Q40*Q22/1000000</f>
        <v>22.62</v>
      </c>
      <c r="R56" s="62">
        <f t="shared" si="81"/>
        <v>37.82064</v>
      </c>
      <c r="S56" s="62">
        <f t="shared" si="81"/>
        <v>69.5663397</v>
      </c>
      <c r="T56" s="62">
        <f t="shared" si="81"/>
        <v>120.210635</v>
      </c>
      <c r="U56" s="62">
        <f t="shared" si="81"/>
        <v>168.0704958</v>
      </c>
    </row>
    <row r="57" ht="15.75" customHeight="1">
      <c r="A57" s="48" t="str">
        <f t="shared" si="78"/>
        <v>Silk emulsion</v>
      </c>
      <c r="C57" s="100">
        <f t="shared" ref="C57:G57" si="82">C41*C23/1000000</f>
        <v>424.235</v>
      </c>
      <c r="D57" s="100">
        <f t="shared" si="82"/>
        <v>709.32092</v>
      </c>
      <c r="E57" s="100">
        <f t="shared" si="82"/>
        <v>1304.707167</v>
      </c>
      <c r="F57" s="100">
        <f t="shared" si="82"/>
        <v>2254.533985</v>
      </c>
      <c r="G57" s="100">
        <f t="shared" si="82"/>
        <v>3152.139116</v>
      </c>
      <c r="I57" s="48" t="str">
        <f t="shared" si="75"/>
        <v>Silk emulsion</v>
      </c>
      <c r="J57" s="51">
        <f t="shared" ref="J57:N57" si="83">J23*J41/1000000</f>
        <v>129.195</v>
      </c>
      <c r="K57" s="51">
        <f t="shared" si="83"/>
        <v>216.01404</v>
      </c>
      <c r="L57" s="51">
        <f t="shared" si="83"/>
        <v>397.3308248</v>
      </c>
      <c r="M57" s="51">
        <f t="shared" si="83"/>
        <v>686.5876653</v>
      </c>
      <c r="N57" s="51">
        <f t="shared" si="83"/>
        <v>959.9411011</v>
      </c>
      <c r="P57" s="48" t="str">
        <f t="shared" si="4"/>
        <v>Silk emulsion</v>
      </c>
      <c r="Q57" s="62">
        <f t="shared" ref="Q57:U57" si="84">Q41*Q23/1000000</f>
        <v>20.332</v>
      </c>
      <c r="R57" s="62">
        <f t="shared" si="84"/>
        <v>33.995104</v>
      </c>
      <c r="S57" s="62">
        <f t="shared" si="84"/>
        <v>62.52974442</v>
      </c>
      <c r="T57" s="62">
        <f t="shared" si="84"/>
        <v>108.0513984</v>
      </c>
      <c r="U57" s="62">
        <f t="shared" si="84"/>
        <v>151.0702618</v>
      </c>
    </row>
    <row r="58" ht="15.75" customHeight="1">
      <c r="A58" s="48" t="str">
        <f t="shared" si="78"/>
        <v>Weather resistent exterior paint</v>
      </c>
      <c r="C58" s="100">
        <f t="shared" ref="C58:G58" si="85">C42*C24/1000000</f>
        <v>395.04</v>
      </c>
      <c r="D58" s="100">
        <f t="shared" si="85"/>
        <v>660.50688</v>
      </c>
      <c r="E58" s="100">
        <f t="shared" si="85"/>
        <v>1214.919842</v>
      </c>
      <c r="F58" s="100">
        <f t="shared" si="85"/>
        <v>2099.381488</v>
      </c>
      <c r="G58" s="100">
        <f t="shared" si="85"/>
        <v>2935.215237</v>
      </c>
      <c r="I58" s="48" t="str">
        <f t="shared" si="75"/>
        <v>Weather resistent exterior paint</v>
      </c>
      <c r="J58" s="51">
        <f t="shared" ref="J58:N58" si="86">J24*J42/1000000</f>
        <v>120.05</v>
      </c>
      <c r="K58" s="51">
        <f t="shared" si="86"/>
        <v>200.7236</v>
      </c>
      <c r="L58" s="51">
        <f t="shared" si="86"/>
        <v>369.2059718</v>
      </c>
      <c r="M58" s="51">
        <f t="shared" si="86"/>
        <v>637.9879192</v>
      </c>
      <c r="N58" s="51">
        <f t="shared" si="86"/>
        <v>891.9921761</v>
      </c>
      <c r="P58" s="48" t="str">
        <f t="shared" si="4"/>
        <v>Weather resistent exterior paint</v>
      </c>
      <c r="Q58" s="62">
        <f t="shared" ref="Q58:U58" si="87">Q42*Q24/1000000</f>
        <v>23.25</v>
      </c>
      <c r="R58" s="62">
        <f t="shared" si="87"/>
        <v>38.874</v>
      </c>
      <c r="S58" s="62">
        <f t="shared" si="87"/>
        <v>71.50386375</v>
      </c>
      <c r="T58" s="62">
        <f t="shared" si="87"/>
        <v>123.5586766</v>
      </c>
      <c r="U58" s="62">
        <f t="shared" si="87"/>
        <v>172.7515043</v>
      </c>
    </row>
    <row r="59" ht="15.75" customHeight="1">
      <c r="A59" s="48" t="str">
        <f t="shared" si="78"/>
        <v>Super primer</v>
      </c>
      <c r="C59" s="100">
        <f t="shared" ref="C59:G59" si="88">C43*C25/1000000</f>
        <v>180.775</v>
      </c>
      <c r="D59" s="100">
        <f t="shared" si="88"/>
        <v>302.2558</v>
      </c>
      <c r="E59" s="100">
        <f t="shared" si="88"/>
        <v>555.9617621</v>
      </c>
      <c r="F59" s="100">
        <f t="shared" si="88"/>
        <v>960.701925</v>
      </c>
      <c r="G59" s="100">
        <f t="shared" si="88"/>
        <v>1343.189385</v>
      </c>
      <c r="I59" s="48" t="str">
        <f t="shared" si="75"/>
        <v>Super primer</v>
      </c>
      <c r="J59" s="51">
        <f t="shared" ref="J59:N59" si="89">J25*J43/1000000</f>
        <v>54.76</v>
      </c>
      <c r="K59" s="51">
        <f t="shared" si="89"/>
        <v>91.55872</v>
      </c>
      <c r="L59" s="51">
        <f t="shared" si="89"/>
        <v>168.4108206</v>
      </c>
      <c r="M59" s="51">
        <f t="shared" si="89"/>
        <v>291.013898</v>
      </c>
      <c r="N59" s="51">
        <f t="shared" si="89"/>
        <v>406.8762313</v>
      </c>
      <c r="P59" s="48" t="str">
        <f t="shared" si="4"/>
        <v>Super primer</v>
      </c>
      <c r="Q59" s="62">
        <f t="shared" ref="Q59:U59" si="90">Q43*Q25/1000000</f>
        <v>10.26</v>
      </c>
      <c r="R59" s="62">
        <f t="shared" si="90"/>
        <v>17.15472</v>
      </c>
      <c r="S59" s="62">
        <f t="shared" si="90"/>
        <v>31.5539631</v>
      </c>
      <c r="T59" s="62">
        <f t="shared" si="90"/>
        <v>54.52524824</v>
      </c>
      <c r="U59" s="62">
        <f t="shared" si="90"/>
        <v>76.23356707</v>
      </c>
    </row>
    <row r="60" ht="15.75" customHeight="1">
      <c r="A60" s="48" t="str">
        <f t="shared" si="78"/>
        <v>Synthetic Enamel</v>
      </c>
      <c r="C60" s="100">
        <f t="shared" ref="C60:G60" si="91">C44*C26/1000000</f>
        <v>638.72</v>
      </c>
      <c r="D60" s="100">
        <f t="shared" si="91"/>
        <v>1067.93984</v>
      </c>
      <c r="E60" s="100">
        <f t="shared" si="91"/>
        <v>1964.341843</v>
      </c>
      <c r="F60" s="100">
        <f t="shared" si="91"/>
        <v>3394.382705</v>
      </c>
      <c r="G60" s="100">
        <f t="shared" si="91"/>
        <v>4745.799606</v>
      </c>
      <c r="I60" s="48" t="str">
        <f t="shared" si="75"/>
        <v>Synthetic Enamel</v>
      </c>
      <c r="J60" s="51">
        <f t="shared" ref="J60:N60" si="92">J26*J44/1000000</f>
        <v>179.64</v>
      </c>
      <c r="K60" s="51">
        <f t="shared" si="92"/>
        <v>300.35808</v>
      </c>
      <c r="L60" s="51">
        <f t="shared" si="92"/>
        <v>552.4711434</v>
      </c>
      <c r="M60" s="51">
        <f t="shared" si="92"/>
        <v>954.6701358</v>
      </c>
      <c r="N60" s="51">
        <f t="shared" si="92"/>
        <v>1334.756139</v>
      </c>
      <c r="P60" s="48" t="str">
        <f t="shared" si="4"/>
        <v>Synthetic Enamel</v>
      </c>
      <c r="Q60" s="62">
        <f t="shared" ref="Q60:U60" si="93">Q44*Q26/1000000</f>
        <v>34.93</v>
      </c>
      <c r="R60" s="62">
        <f t="shared" si="93"/>
        <v>58.40296</v>
      </c>
      <c r="S60" s="62">
        <f t="shared" si="93"/>
        <v>107.4249446</v>
      </c>
      <c r="T60" s="62">
        <f t="shared" si="93"/>
        <v>185.6303042</v>
      </c>
      <c r="U60" s="62">
        <f t="shared" si="93"/>
        <v>259.535916</v>
      </c>
    </row>
    <row r="61" ht="15.75" customHeight="1">
      <c r="J61" s="49"/>
      <c r="K61" s="49"/>
      <c r="L61" s="49"/>
      <c r="M61" s="49"/>
      <c r="N61" s="49"/>
      <c r="P61" s="48" t="str">
        <f t="shared" si="4"/>
        <v/>
      </c>
      <c r="Q61" s="49"/>
      <c r="R61" s="49"/>
      <c r="S61" s="49"/>
      <c r="T61" s="49"/>
      <c r="U61" s="49"/>
    </row>
    <row r="62" ht="15.75" customHeight="1">
      <c r="A62" s="43" t="s">
        <v>145</v>
      </c>
      <c r="C62" s="44">
        <f t="shared" ref="C62:G62" si="94">C54</f>
        <v>2026</v>
      </c>
      <c r="D62" s="44">
        <f t="shared" si="94"/>
        <v>2027</v>
      </c>
      <c r="E62" s="44">
        <f t="shared" si="94"/>
        <v>2028</v>
      </c>
      <c r="F62" s="44">
        <f t="shared" si="94"/>
        <v>2029</v>
      </c>
      <c r="G62" s="44">
        <f t="shared" si="94"/>
        <v>2030</v>
      </c>
      <c r="I62" s="43" t="str">
        <f t="shared" ref="I62:I68" si="97">A62</f>
        <v>Total Revenue</v>
      </c>
      <c r="J62" s="44">
        <f t="shared" ref="J62:N62" si="95">C62</f>
        <v>2026</v>
      </c>
      <c r="K62" s="44">
        <f t="shared" si="95"/>
        <v>2027</v>
      </c>
      <c r="L62" s="44">
        <f t="shared" si="95"/>
        <v>2028</v>
      </c>
      <c r="M62" s="44">
        <f t="shared" si="95"/>
        <v>2029</v>
      </c>
      <c r="N62" s="44">
        <f t="shared" si="95"/>
        <v>2030</v>
      </c>
      <c r="P62" s="43" t="str">
        <f t="shared" si="4"/>
        <v>Total Revenue</v>
      </c>
      <c r="Q62" s="44">
        <f t="shared" ref="Q62:U62" si="96">Q54</f>
        <v>2026</v>
      </c>
      <c r="R62" s="44">
        <f t="shared" si="96"/>
        <v>2027</v>
      </c>
      <c r="S62" s="44">
        <f t="shared" si="96"/>
        <v>2028</v>
      </c>
      <c r="T62" s="44">
        <f t="shared" si="96"/>
        <v>2029</v>
      </c>
      <c r="U62" s="44">
        <f t="shared" si="96"/>
        <v>2030</v>
      </c>
    </row>
    <row r="63" ht="15.75" customHeight="1">
      <c r="A63" s="48" t="str">
        <f t="shared" ref="A63:A68" si="98">A55</f>
        <v>Royal Matt Emulsion paint</v>
      </c>
      <c r="C63" s="100">
        <f>(C47*Assumptions!D$7)+C55</f>
        <v>423.825</v>
      </c>
      <c r="D63" s="100">
        <f>(D47*Assumptions!E$7)+D55</f>
        <v>880.341035</v>
      </c>
      <c r="E63" s="100">
        <f>(E47*Assumptions!F$7)+E55</f>
        <v>1714.863126</v>
      </c>
      <c r="F63" s="100">
        <f>(F47*Assumptions!G$7)+F55</f>
        <v>2949.200884</v>
      </c>
      <c r="G63" s="100">
        <f>(G47*Assumptions!H$7)+G55</f>
        <v>4399.234081</v>
      </c>
      <c r="I63" s="48" t="str">
        <f t="shared" si="97"/>
        <v>Royal Matt Emulsion paint</v>
      </c>
      <c r="J63" s="51">
        <f>(Assumptions!D$7*J47)+J55</f>
        <v>131.76</v>
      </c>
      <c r="K63" s="51">
        <f>(Assumptions!E$7*K47)+K55</f>
        <v>273.683088</v>
      </c>
      <c r="L63" s="51">
        <f>(Assumptions!F$7*L47)+L55</f>
        <v>533.121844</v>
      </c>
      <c r="M63" s="51">
        <f>(Assumptions!G$7*M47)+M55</f>
        <v>916.8565057</v>
      </c>
      <c r="N63" s="51">
        <f>(Assumptions!H$7*N47)+N55</f>
        <v>1367.647219</v>
      </c>
      <c r="P63" s="48" t="str">
        <f t="shared" si="4"/>
        <v>Royal Matt Emulsion paint</v>
      </c>
      <c r="Q63" s="62">
        <f>(Q47*Assumptions!D$7)+Q55</f>
        <v>17.115</v>
      </c>
      <c r="R63" s="62">
        <f>(R47*Assumptions!E$7)+R55</f>
        <v>35.550137</v>
      </c>
      <c r="S63" s="62">
        <f>(S47*Assumptions!F$7)+S55</f>
        <v>69.25000273</v>
      </c>
      <c r="T63" s="62">
        <f>(T47*Assumptions!G$7)+T55</f>
        <v>119.095318</v>
      </c>
      <c r="U63" s="62">
        <f>(U47*Assumptions!H$7)+U55</f>
        <v>177.6508967</v>
      </c>
    </row>
    <row r="64" ht="15.75" customHeight="1">
      <c r="A64" s="48" t="str">
        <f t="shared" si="98"/>
        <v>Anti-bacterial Interior paint</v>
      </c>
      <c r="C64" s="100">
        <f>(C48*Assumptions!D$7)+C56</f>
        <v>501.12</v>
      </c>
      <c r="D64" s="100">
        <f>(D48*Assumptions!E$7)+D56</f>
        <v>1040.893056</v>
      </c>
      <c r="E64" s="100">
        <f>(E48*Assumptions!F$7)+E56</f>
        <v>2027.610948</v>
      </c>
      <c r="F64" s="100">
        <f>(F48*Assumptions!G$7)+F56</f>
        <v>3487.060809</v>
      </c>
      <c r="G64" s="100">
        <f>(G48*Assumptions!H$7)+G56</f>
        <v>5201.543521</v>
      </c>
      <c r="I64" s="48" t="str">
        <f t="shared" si="97"/>
        <v>Anti-bacterial Interior paint</v>
      </c>
      <c r="J64" s="51">
        <f>(Assumptions!D$7*J48)+J56</f>
        <v>160.08</v>
      </c>
      <c r="K64" s="51">
        <f>(Assumptions!E$7*K48)+K56</f>
        <v>332.507504</v>
      </c>
      <c r="L64" s="51">
        <f>(Assumptions!F$7*L48)+L56</f>
        <v>647.7090527</v>
      </c>
      <c r="M64" s="51">
        <f>(Assumptions!G$7*M48)+M56</f>
        <v>1113.922203</v>
      </c>
      <c r="N64" s="51">
        <f>(Assumptions!H$7*N48)+N56</f>
        <v>1661.60418</v>
      </c>
      <c r="P64" s="48" t="str">
        <f t="shared" si="4"/>
        <v>Anti-bacterial Interior paint</v>
      </c>
      <c r="Q64" s="62">
        <f>(Q48*Assumptions!D$7)+Q56</f>
        <v>22.62</v>
      </c>
      <c r="R64" s="62">
        <f>(R48*Assumptions!E$7)+R56</f>
        <v>46.984756</v>
      </c>
      <c r="S64" s="62">
        <f>(S48*Assumptions!F$7)+S56</f>
        <v>91.52410527</v>
      </c>
      <c r="T64" s="62">
        <f>(T48*Assumptions!G$7)+T56</f>
        <v>157.4020504</v>
      </c>
      <c r="U64" s="62">
        <f>(U48*Assumptions!H$7)+U56</f>
        <v>234.791895</v>
      </c>
    </row>
    <row r="65" ht="15.75" customHeight="1">
      <c r="A65" s="48" t="str">
        <f t="shared" si="98"/>
        <v>Silk emulsion</v>
      </c>
      <c r="C65" s="100">
        <f>(C49*Assumptions!D$7)+C57</f>
        <v>424.235</v>
      </c>
      <c r="D65" s="100">
        <f>(D49*Assumptions!E$7)+D57</f>
        <v>881.1926597</v>
      </c>
      <c r="E65" s="100">
        <f>(E49*Assumptions!F$7)+E57</f>
        <v>1716.522051</v>
      </c>
      <c r="F65" s="100">
        <f>(F49*Assumptions!G$7)+F57</f>
        <v>2952.053884</v>
      </c>
      <c r="G65" s="100">
        <f>(G49*Assumptions!H$7)+G57</f>
        <v>4403.489814</v>
      </c>
      <c r="I65" s="48" t="str">
        <f t="shared" si="97"/>
        <v>Silk emulsion</v>
      </c>
      <c r="J65" s="51">
        <f>(Assumptions!D$7*J49)+J57</f>
        <v>129.195</v>
      </c>
      <c r="K65" s="51">
        <f>(Assumptions!E$7*K49)+K57</f>
        <v>268.355241</v>
      </c>
      <c r="L65" s="51">
        <f>(Assumptions!F$7*L49)+L57</f>
        <v>522.7434474</v>
      </c>
      <c r="M65" s="51">
        <f>(Assumptions!G$7*M49)+M57</f>
        <v>899.0078647</v>
      </c>
      <c r="N65" s="51">
        <f>(Assumptions!H$7*N49)+N57</f>
        <v>1341.022939</v>
      </c>
      <c r="P65" s="48" t="str">
        <f t="shared" si="4"/>
        <v>Silk emulsion</v>
      </c>
      <c r="Q65" s="62">
        <f>(Q49*Assumptions!D$7)+Q57</f>
        <v>20.332</v>
      </c>
      <c r="R65" s="62">
        <f>(R49*Assumptions!E$7)+R57</f>
        <v>42.23227493</v>
      </c>
      <c r="S65" s="62">
        <f>(S49*Assumptions!F$7)+S57</f>
        <v>82.26649462</v>
      </c>
      <c r="T65" s="62">
        <f>(T49*Assumptions!G$7)+T57</f>
        <v>141.4809235</v>
      </c>
      <c r="U65" s="62">
        <f>(U49*Assumptions!H$7)+U57</f>
        <v>211.0428298</v>
      </c>
    </row>
    <row r="66" ht="15.75" customHeight="1">
      <c r="A66" s="48" t="str">
        <f t="shared" si="98"/>
        <v>Weather resistent exterior paint</v>
      </c>
      <c r="C66" s="100">
        <f>(C50*Assumptions!D$7)+C58</f>
        <v>395.04</v>
      </c>
      <c r="D66" s="100">
        <f>(D50*Assumptions!E$7)+D58</f>
        <v>820.550752</v>
      </c>
      <c r="E66" s="100">
        <f>(E50*Assumptions!F$7)+E58</f>
        <v>1598.394454</v>
      </c>
      <c r="F66" s="100">
        <f>(F50*Assumptions!G$7)+F58</f>
        <v>2748.899469</v>
      </c>
      <c r="G66" s="100">
        <f>(G50*Assumptions!H$7)+G58</f>
        <v>4100.450496</v>
      </c>
      <c r="I66" s="48" t="str">
        <f t="shared" si="97"/>
        <v>Weather resistent exterior paint</v>
      </c>
      <c r="J66" s="51">
        <f>(Assumptions!D$7*J50)+J58</f>
        <v>120.05</v>
      </c>
      <c r="K66" s="51">
        <f>(Assumptions!E$7*K50)+K58</f>
        <v>249.3598567</v>
      </c>
      <c r="L66" s="51">
        <f>(Assumptions!F$7*L50)+L58</f>
        <v>485.7413279</v>
      </c>
      <c r="M66" s="51">
        <f>(Assumptions!G$7*M50)+M58</f>
        <v>835.3720667</v>
      </c>
      <c r="N66" s="51">
        <f>(Assumptions!H$7*N50)+N58</f>
        <v>1246.099337</v>
      </c>
      <c r="P66" s="48" t="str">
        <f t="shared" si="4"/>
        <v>Weather resistent exterior paint</v>
      </c>
      <c r="Q66" s="62">
        <f>(Q50*Assumptions!D$7)+Q58</f>
        <v>23.25</v>
      </c>
      <c r="R66" s="62">
        <f>(R50*Assumptions!E$7)+R58</f>
        <v>48.29335</v>
      </c>
      <c r="S66" s="62">
        <f>(S50*Assumptions!F$7)+S58</f>
        <v>94.07318513</v>
      </c>
      <c r="T66" s="62">
        <f>(T50*Assumptions!G$7)+T58</f>
        <v>161.7859271</v>
      </c>
      <c r="U66" s="62">
        <f>(U50*Assumptions!H$7)+U58</f>
        <v>241.3311918</v>
      </c>
    </row>
    <row r="67" ht="15.75" customHeight="1">
      <c r="A67" s="48" t="str">
        <f t="shared" si="98"/>
        <v>Super primer</v>
      </c>
      <c r="C67" s="100">
        <f>(C51*Assumptions!D$7)+C59</f>
        <v>180.775</v>
      </c>
      <c r="D67" s="100">
        <f>(D51*Assumptions!E$7)+D59</f>
        <v>375.4937783</v>
      </c>
      <c r="E67" s="100">
        <f>(E51*Assumptions!F$7)+E59</f>
        <v>731.4443028</v>
      </c>
      <c r="F67" s="100">
        <f>(F51*Assumptions!G$7)+F59</f>
        <v>1257.929074</v>
      </c>
      <c r="G67" s="100">
        <f>(G51*Assumptions!H$7)+G59</f>
        <v>1876.41489</v>
      </c>
      <c r="I67" s="48" t="str">
        <f t="shared" si="97"/>
        <v>Super primer</v>
      </c>
      <c r="J67" s="51">
        <f>(Assumptions!D$7*J51)+J59</f>
        <v>54.76</v>
      </c>
      <c r="K67" s="51">
        <f>(Assumptions!E$7*K51)+K59</f>
        <v>113.7438213</v>
      </c>
      <c r="L67" s="51">
        <f>(Assumptions!F$7*L51)+L59</f>
        <v>221.5676395</v>
      </c>
      <c r="M67" s="51">
        <f>(Assumptions!G$7*M51)+M59</f>
        <v>381.0493492</v>
      </c>
      <c r="N67" s="51">
        <f>(Assumptions!H$7*N51)+N59</f>
        <v>568.3998307</v>
      </c>
      <c r="P67" s="48" t="str">
        <f t="shared" si="4"/>
        <v>Super primer</v>
      </c>
      <c r="Q67" s="62">
        <f>(Q51*Assumptions!D$7)+Q59</f>
        <v>10.26</v>
      </c>
      <c r="R67" s="62">
        <f>(R51*Assumptions!E$7)+R59</f>
        <v>21.311388</v>
      </c>
      <c r="S67" s="62">
        <f>(S51*Assumptions!F$7)+S59</f>
        <v>41.51358621</v>
      </c>
      <c r="T67" s="62">
        <f>(T51*Assumptions!G$7)+T59</f>
        <v>71.39456397</v>
      </c>
      <c r="U67" s="62">
        <f>(U51*Assumptions!H$7)+U59</f>
        <v>106.4971195</v>
      </c>
    </row>
    <row r="68" ht="15.75" customHeight="1">
      <c r="A68" s="48" t="str">
        <f t="shared" si="98"/>
        <v>Synthetic Enamel</v>
      </c>
      <c r="C68" s="100">
        <f>(C52*Assumptions!D$7)+C60</f>
        <v>638.72</v>
      </c>
      <c r="D68" s="100">
        <f>(D52*Assumptions!E$7)+D60</f>
        <v>1326.706603</v>
      </c>
      <c r="E68" s="100">
        <f>(E52*Assumptions!F$7)+E60</f>
        <v>2584.362357</v>
      </c>
      <c r="F68" s="100">
        <f>(F52*Assumptions!G$7)+F60</f>
        <v>4444.555156</v>
      </c>
      <c r="G68" s="100">
        <f>(G52*Assumptions!H$7)+G60</f>
        <v>6629.808983</v>
      </c>
      <c r="I68" s="48" t="str">
        <f t="shared" si="97"/>
        <v>Synthetic Enamel</v>
      </c>
      <c r="J68" s="51">
        <f>(Assumptions!D$7*J52)+J60</f>
        <v>179.64</v>
      </c>
      <c r="K68" s="51">
        <f>(Assumptions!E$7*K52)+K60</f>
        <v>373.136232</v>
      </c>
      <c r="L68" s="51">
        <f>(Assumptions!F$7*L52)+L60</f>
        <v>726.8519129</v>
      </c>
      <c r="M68" s="51">
        <f>(Assumptions!G$7*M52)+M60</f>
        <v>1250.031138</v>
      </c>
      <c r="N68" s="51">
        <f>(Assumptions!H$7*N52)+N60</f>
        <v>1864.633776</v>
      </c>
      <c r="P68" s="48" t="str">
        <f t="shared" si="4"/>
        <v>Synthetic Enamel</v>
      </c>
      <c r="Q68" s="62">
        <f>(Q52*Assumptions!D$7)+Q60</f>
        <v>34.93</v>
      </c>
      <c r="R68" s="62">
        <f>(R52*Assumptions!E$7)+R60</f>
        <v>72.55426733</v>
      </c>
      <c r="S68" s="62">
        <f>(S52*Assumptions!F$7)+S60</f>
        <v>141.3323164</v>
      </c>
      <c r="T68" s="62">
        <f>(T52*Assumptions!G$7)+T60</f>
        <v>243.0616101</v>
      </c>
      <c r="U68" s="62">
        <f>(U52*Assumptions!H$7)+U60</f>
        <v>362.5676787</v>
      </c>
    </row>
    <row r="69" ht="15.75" customHeight="1">
      <c r="J69" s="49"/>
      <c r="K69" s="49"/>
      <c r="L69" s="49"/>
      <c r="M69" s="49"/>
      <c r="N69" s="49"/>
      <c r="P69" s="48" t="str">
        <f t="shared" si="4"/>
        <v/>
      </c>
      <c r="Q69" s="49"/>
      <c r="R69" s="49"/>
      <c r="S69" s="49"/>
      <c r="T69" s="49"/>
      <c r="U69" s="49"/>
    </row>
    <row r="70" ht="15.75" customHeight="1">
      <c r="C70" s="44">
        <f t="shared" ref="C70:G70" si="99">C62</f>
        <v>2026</v>
      </c>
      <c r="D70" s="44">
        <f t="shared" si="99"/>
        <v>2027</v>
      </c>
      <c r="E70" s="44">
        <f t="shared" si="99"/>
        <v>2028</v>
      </c>
      <c r="F70" s="44">
        <f t="shared" si="99"/>
        <v>2029</v>
      </c>
      <c r="G70" s="44">
        <f t="shared" si="99"/>
        <v>2030</v>
      </c>
      <c r="J70" s="44">
        <f t="shared" ref="J70:N70" si="100">C70</f>
        <v>2026</v>
      </c>
      <c r="K70" s="44">
        <f t="shared" si="100"/>
        <v>2027</v>
      </c>
      <c r="L70" s="44">
        <f t="shared" si="100"/>
        <v>2028</v>
      </c>
      <c r="M70" s="44">
        <f t="shared" si="100"/>
        <v>2029</v>
      </c>
      <c r="N70" s="44">
        <f t="shared" si="100"/>
        <v>2030</v>
      </c>
      <c r="P70" s="48" t="str">
        <f t="shared" si="4"/>
        <v/>
      </c>
      <c r="Q70" s="44">
        <f t="shared" ref="Q70:U70" si="101">Q62</f>
        <v>2026</v>
      </c>
      <c r="R70" s="44">
        <f t="shared" si="101"/>
        <v>2027</v>
      </c>
      <c r="S70" s="44">
        <f t="shared" si="101"/>
        <v>2028</v>
      </c>
      <c r="T70" s="44">
        <f t="shared" si="101"/>
        <v>2029</v>
      </c>
      <c r="U70" s="44">
        <f t="shared" si="101"/>
        <v>2030</v>
      </c>
    </row>
    <row r="71" ht="15.75" customHeight="1">
      <c r="A71" s="43" t="s">
        <v>146</v>
      </c>
      <c r="C71" s="100">
        <f>SUM(C47:C52)*Assumptions!D$7</f>
        <v>0</v>
      </c>
      <c r="D71" s="100">
        <f>SUM(D47:D52)*Assumptions!E$7</f>
        <v>1038.646404</v>
      </c>
      <c r="E71" s="100">
        <f>SUM(E47:E52)*Assumptions!F$7</f>
        <v>2488.658398</v>
      </c>
      <c r="F71" s="100">
        <f>SUM(F47:F52)*Assumptions!G$7</f>
        <v>4215.216158</v>
      </c>
      <c r="G71" s="100">
        <f>SUM(G47:G52)*Assumptions!H$7</f>
        <v>7562.097788</v>
      </c>
      <c r="I71" s="43" t="str">
        <f t="shared" ref="I71:I73" si="103">A71</f>
        <v> Total Export Sales</v>
      </c>
      <c r="J71" s="51">
        <f>SUM(J47:J52)*Assumptions!D$7</f>
        <v>0</v>
      </c>
      <c r="K71" s="51">
        <f>SUM(K47:K52)*Assumptions!E$7</f>
        <v>314.174823</v>
      </c>
      <c r="L71" s="51">
        <f>SUM(L47:L52)*Assumptions!F$7</f>
        <v>752.7815134</v>
      </c>
      <c r="M71" s="51">
        <f>SUM(M47:M52)*Assumptions!G$7</f>
        <v>1275.039114</v>
      </c>
      <c r="N71" s="51">
        <f>SUM(N47:N52)*Assumptions!H$7</f>
        <v>2287.420171</v>
      </c>
      <c r="P71" s="43" t="str">
        <f t="shared" si="4"/>
        <v> Total Export Sales</v>
      </c>
      <c r="Q71" s="51">
        <f>SUM(Q47:Q52)*Assumptions!D$7</f>
        <v>0</v>
      </c>
      <c r="R71" s="51">
        <f>SUM(R47:R52)*Assumptions!E$7</f>
        <v>52.06246927</v>
      </c>
      <c r="S71" s="51">
        <f>SUM(S47:S52)*Assumptions!F$7</f>
        <v>124.7447648</v>
      </c>
      <c r="T71" s="51">
        <f>SUM(T47:T52)*Assumptions!G$7</f>
        <v>211.2890016</v>
      </c>
      <c r="U71" s="51">
        <f>SUM(U47:U52)*Assumptions!H$7</f>
        <v>379.052469</v>
      </c>
    </row>
    <row r="72" ht="15.75" customHeight="1">
      <c r="A72" s="43" t="s">
        <v>147</v>
      </c>
      <c r="C72" s="100">
        <f t="shared" ref="C72:G72" si="102">SUM(C55:C60)</f>
        <v>2563.715</v>
      </c>
      <c r="D72" s="100">
        <f t="shared" si="102"/>
        <v>4286.53148</v>
      </c>
      <c r="E72" s="100">
        <f t="shared" si="102"/>
        <v>7884.538841</v>
      </c>
      <c r="F72" s="100">
        <f t="shared" si="102"/>
        <v>13624.48312</v>
      </c>
      <c r="G72" s="100">
        <f t="shared" si="102"/>
        <v>19048.844</v>
      </c>
      <c r="I72" s="43" t="str">
        <f t="shared" si="103"/>
        <v>Total Local sales</v>
      </c>
      <c r="J72" s="51">
        <f t="shared" ref="J72:N72" si="104">SUM(J55:J60)</f>
        <v>775.485</v>
      </c>
      <c r="K72" s="51">
        <f t="shared" si="104"/>
        <v>1296.61092</v>
      </c>
      <c r="L72" s="51">
        <f t="shared" si="104"/>
        <v>2384.953711</v>
      </c>
      <c r="M72" s="51">
        <f t="shared" si="104"/>
        <v>4121.200013</v>
      </c>
      <c r="N72" s="51">
        <f t="shared" si="104"/>
        <v>5761.987111</v>
      </c>
      <c r="P72" s="43" t="str">
        <f t="shared" si="4"/>
        <v>Total Local sales</v>
      </c>
      <c r="Q72" s="62">
        <f t="shared" ref="Q72:U72" si="105">SUM(Q55:Q60)</f>
        <v>128.507</v>
      </c>
      <c r="R72" s="62">
        <f t="shared" si="105"/>
        <v>214.863704</v>
      </c>
      <c r="S72" s="62">
        <f t="shared" si="105"/>
        <v>395.2149255</v>
      </c>
      <c r="T72" s="62">
        <f t="shared" si="105"/>
        <v>682.9313913</v>
      </c>
      <c r="U72" s="62">
        <f t="shared" si="105"/>
        <v>954.8291426</v>
      </c>
    </row>
    <row r="73" ht="15.75" customHeight="1">
      <c r="A73" s="43" t="s">
        <v>148</v>
      </c>
      <c r="C73" s="102">
        <f t="shared" ref="C73:G73" si="106">SUM(C71:C72)</f>
        <v>2563.715</v>
      </c>
      <c r="D73" s="102">
        <f t="shared" si="106"/>
        <v>5325.177884</v>
      </c>
      <c r="E73" s="102">
        <f t="shared" si="106"/>
        <v>10373.19724</v>
      </c>
      <c r="F73" s="102">
        <f t="shared" si="106"/>
        <v>17839.69928</v>
      </c>
      <c r="G73" s="102">
        <f t="shared" si="106"/>
        <v>26610.94178</v>
      </c>
      <c r="I73" s="43" t="str">
        <f t="shared" si="103"/>
        <v>Total Sales </v>
      </c>
      <c r="J73" s="103">
        <f t="shared" ref="J73:N73" si="107">SUM(J71:J72)</f>
        <v>775.485</v>
      </c>
      <c r="K73" s="103">
        <f t="shared" si="107"/>
        <v>1610.785743</v>
      </c>
      <c r="L73" s="103">
        <f t="shared" si="107"/>
        <v>3137.735224</v>
      </c>
      <c r="M73" s="103">
        <f t="shared" si="107"/>
        <v>5396.239127</v>
      </c>
      <c r="N73" s="103">
        <f t="shared" si="107"/>
        <v>8049.407282</v>
      </c>
      <c r="P73" s="43" t="str">
        <f t="shared" si="4"/>
        <v>Total Sales </v>
      </c>
      <c r="Q73" s="103">
        <f t="shared" ref="Q73:U73" si="108">SUM(Q71:Q72)</f>
        <v>128.507</v>
      </c>
      <c r="R73" s="103">
        <f t="shared" si="108"/>
        <v>266.9261733</v>
      </c>
      <c r="S73" s="103">
        <f t="shared" si="108"/>
        <v>519.9596904</v>
      </c>
      <c r="T73" s="103">
        <f t="shared" si="108"/>
        <v>894.220393</v>
      </c>
      <c r="U73" s="103">
        <f t="shared" si="108"/>
        <v>1333.881612</v>
      </c>
    </row>
    <row r="74" ht="15.75" customHeight="1"/>
    <row r="75" ht="15.75" customHeight="1"/>
    <row r="76" ht="15.75" customHeight="1">
      <c r="A76" s="104" t="s">
        <v>149</v>
      </c>
      <c r="B76" s="105"/>
      <c r="C76" s="106">
        <f t="shared" ref="C76:G76" si="109">J70</f>
        <v>2026</v>
      </c>
      <c r="D76" s="106">
        <f t="shared" si="109"/>
        <v>2027</v>
      </c>
      <c r="E76" s="106">
        <f t="shared" si="109"/>
        <v>2028</v>
      </c>
      <c r="F76" s="106">
        <f t="shared" si="109"/>
        <v>2029</v>
      </c>
      <c r="G76" s="107">
        <f t="shared" si="109"/>
        <v>2030</v>
      </c>
    </row>
    <row r="77" ht="15.75" customHeight="1">
      <c r="A77" s="108" t="s">
        <v>131</v>
      </c>
      <c r="B77" s="109"/>
      <c r="C77" s="110">
        <f t="shared" ref="C77:G77" si="110">C73</f>
        <v>2563.715</v>
      </c>
      <c r="D77" s="110">
        <f t="shared" si="110"/>
        <v>5325.177884</v>
      </c>
      <c r="E77" s="110">
        <f t="shared" si="110"/>
        <v>10373.19724</v>
      </c>
      <c r="F77" s="110">
        <f t="shared" si="110"/>
        <v>17839.69928</v>
      </c>
      <c r="G77" s="111">
        <f t="shared" si="110"/>
        <v>26610.94178</v>
      </c>
    </row>
    <row r="78" ht="15.75" customHeight="1">
      <c r="A78" s="108" t="s">
        <v>132</v>
      </c>
      <c r="B78" s="109"/>
      <c r="C78" s="110">
        <f t="shared" ref="C78:G78" si="111">J73</f>
        <v>775.485</v>
      </c>
      <c r="D78" s="110">
        <f t="shared" si="111"/>
        <v>1610.785743</v>
      </c>
      <c r="E78" s="110">
        <f t="shared" si="111"/>
        <v>3137.735224</v>
      </c>
      <c r="F78" s="110">
        <f t="shared" si="111"/>
        <v>5396.239127</v>
      </c>
      <c r="G78" s="111">
        <f t="shared" si="111"/>
        <v>8049.407282</v>
      </c>
    </row>
    <row r="79" ht="15.75" customHeight="1">
      <c r="A79" s="108" t="s">
        <v>133</v>
      </c>
      <c r="B79" s="109"/>
      <c r="C79" s="110">
        <f t="shared" ref="C79:G79" si="112">Q73</f>
        <v>128.507</v>
      </c>
      <c r="D79" s="110">
        <f t="shared" si="112"/>
        <v>266.9261733</v>
      </c>
      <c r="E79" s="110">
        <f t="shared" si="112"/>
        <v>519.9596904</v>
      </c>
      <c r="F79" s="110">
        <f t="shared" si="112"/>
        <v>894.220393</v>
      </c>
      <c r="G79" s="111">
        <f t="shared" si="112"/>
        <v>1333.881612</v>
      </c>
    </row>
    <row r="80" ht="15.75" customHeight="1">
      <c r="A80" s="112"/>
      <c r="B80" s="113"/>
      <c r="C80" s="114">
        <f t="shared" ref="C80:G80" si="113">SUM(C77:C79)</f>
        <v>3467.707</v>
      </c>
      <c r="D80" s="114">
        <f t="shared" si="113"/>
        <v>7202.8898</v>
      </c>
      <c r="E80" s="114">
        <f t="shared" si="113"/>
        <v>14030.89215</v>
      </c>
      <c r="F80" s="114">
        <f t="shared" si="113"/>
        <v>24130.1588</v>
      </c>
      <c r="G80" s="115">
        <f t="shared" si="113"/>
        <v>35994.23068</v>
      </c>
      <c r="I80" s="11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5"/>
    <col customWidth="1" min="2" max="6" width="12.63"/>
    <col customWidth="1" min="8" max="8" width="33.5"/>
    <col customWidth="1" min="15" max="15" width="34.5"/>
  </cols>
  <sheetData>
    <row r="1" ht="15.75" customHeight="1">
      <c r="A1" s="117" t="s">
        <v>150</v>
      </c>
      <c r="B1" s="3"/>
      <c r="C1" s="3"/>
      <c r="D1" s="3"/>
      <c r="E1" s="3"/>
      <c r="F1" s="3"/>
    </row>
    <row r="2" ht="15.75" customHeight="1">
      <c r="A2" s="34" t="s">
        <v>151</v>
      </c>
      <c r="B2" s="3"/>
      <c r="C2" s="3"/>
      <c r="D2" s="3"/>
      <c r="E2" s="3"/>
      <c r="F2" s="3"/>
      <c r="H2" s="43" t="s">
        <v>152</v>
      </c>
      <c r="O2" s="43" t="s">
        <v>153</v>
      </c>
    </row>
    <row r="3" ht="15.75" customHeight="1">
      <c r="A3" s="31" t="s">
        <v>154</v>
      </c>
      <c r="B3" s="3"/>
      <c r="C3" s="3"/>
      <c r="D3" s="3"/>
      <c r="E3" s="3"/>
      <c r="F3" s="3"/>
      <c r="H3" s="97" t="str">
        <f>A3</f>
        <v>Direct Labor</v>
      </c>
      <c r="O3" s="48" t="str">
        <f t="shared" ref="O3:O62" si="1">H3</f>
        <v>Direct Labor</v>
      </c>
    </row>
    <row r="4" ht="15.75" customHeight="1">
      <c r="A4" s="3"/>
      <c r="B4" s="3"/>
      <c r="C4" s="3"/>
      <c r="D4" s="3"/>
      <c r="E4" s="3"/>
      <c r="F4" s="3"/>
      <c r="O4" s="48" t="str">
        <f t="shared" si="1"/>
        <v/>
      </c>
    </row>
    <row r="5" ht="15.75" customHeight="1">
      <c r="A5" s="34" t="s">
        <v>155</v>
      </c>
      <c r="B5" s="35">
        <f>Sales!C4</f>
        <v>2026</v>
      </c>
      <c r="C5" s="35">
        <f>Sales!D4</f>
        <v>2027</v>
      </c>
      <c r="D5" s="35">
        <f>Sales!E4</f>
        <v>2028</v>
      </c>
      <c r="E5" s="35">
        <f>Sales!F4</f>
        <v>2029</v>
      </c>
      <c r="F5" s="35">
        <f>Sales!G4</f>
        <v>2030</v>
      </c>
      <c r="H5" s="43" t="str">
        <f t="shared" ref="H5:M5" si="2">A5</f>
        <v>DL cost per product (PKR)</v>
      </c>
      <c r="I5" s="43">
        <f t="shared" si="2"/>
        <v>2026</v>
      </c>
      <c r="J5" s="43">
        <f t="shared" si="2"/>
        <v>2027</v>
      </c>
      <c r="K5" s="43">
        <f t="shared" si="2"/>
        <v>2028</v>
      </c>
      <c r="L5" s="43">
        <f t="shared" si="2"/>
        <v>2029</v>
      </c>
      <c r="M5" s="43">
        <f t="shared" si="2"/>
        <v>2030</v>
      </c>
      <c r="O5" s="43" t="str">
        <f t="shared" si="1"/>
        <v>DL cost per product (PKR)</v>
      </c>
      <c r="P5" s="43">
        <f t="shared" ref="P5:T5" si="3">I5</f>
        <v>2026</v>
      </c>
      <c r="Q5" s="43">
        <f t="shared" si="3"/>
        <v>2027</v>
      </c>
      <c r="R5" s="43">
        <f t="shared" si="3"/>
        <v>2028</v>
      </c>
      <c r="S5" s="43">
        <f t="shared" si="3"/>
        <v>2029</v>
      </c>
      <c r="T5" s="43">
        <f t="shared" si="3"/>
        <v>2030</v>
      </c>
    </row>
    <row r="6" ht="15.75" customHeight="1">
      <c r="A6" s="48" t="str">
        <f>Sales!A5</f>
        <v>Royal Matt Emulsion paint</v>
      </c>
      <c r="B6" s="100">
        <f>Assumptions!$B91*Assumptions!B$99</f>
        <v>125</v>
      </c>
      <c r="C6" s="100">
        <f>Assumptions!$B91*Assumptions!C$99</f>
        <v>136.25</v>
      </c>
      <c r="D6" s="100">
        <f>Assumptions!$B91*Assumptions!D$99</f>
        <v>147.15</v>
      </c>
      <c r="E6" s="100">
        <f>Assumptions!$B91*Assumptions!E$99</f>
        <v>157.4505</v>
      </c>
      <c r="F6" s="100">
        <f>Assumptions!$B91*Assumptions!F$99</f>
        <v>167.6847825</v>
      </c>
      <c r="H6" s="48" t="str">
        <f t="shared" ref="H6:H11" si="4">A6</f>
        <v>Royal Matt Emulsion paint</v>
      </c>
      <c r="I6" s="100">
        <f>Assumptions!$C91*Assumptions!B$99</f>
        <v>31.25</v>
      </c>
      <c r="J6" s="100">
        <f>Assumptions!$C91*Assumptions!C$99</f>
        <v>34.0625</v>
      </c>
      <c r="K6" s="100">
        <f>Assumptions!$C91*Assumptions!D$99</f>
        <v>36.7875</v>
      </c>
      <c r="L6" s="100">
        <f>Assumptions!$C91*Assumptions!E$99</f>
        <v>39.362625</v>
      </c>
      <c r="M6" s="100">
        <f>Assumptions!$C91*Assumptions!F$99</f>
        <v>41.92119563</v>
      </c>
      <c r="O6" s="48" t="str">
        <f t="shared" si="1"/>
        <v>Royal Matt Emulsion paint</v>
      </c>
      <c r="P6" s="100">
        <f>Assumptions!$D91*Assumptions!B$99</f>
        <v>7.8125</v>
      </c>
      <c r="Q6" s="100">
        <f>Assumptions!$D91*Assumptions!C$99</f>
        <v>8.515625</v>
      </c>
      <c r="R6" s="100">
        <f>Assumptions!$D91*Assumptions!D$99</f>
        <v>9.196875</v>
      </c>
      <c r="S6" s="100">
        <f>Assumptions!$D91*Assumptions!E$99</f>
        <v>9.84065625</v>
      </c>
      <c r="T6" s="100">
        <f>Assumptions!$D91*Assumptions!F$99</f>
        <v>10.48029891</v>
      </c>
    </row>
    <row r="7" ht="15.75" customHeight="1">
      <c r="A7" s="48" t="str">
        <f>Sales!A6</f>
        <v>Anti-bacterial Interior paint</v>
      </c>
      <c r="B7" s="100">
        <f>Assumptions!$B92*Assumptions!B$99</f>
        <v>225</v>
      </c>
      <c r="C7" s="100">
        <f>Assumptions!$B92*Assumptions!C$99</f>
        <v>245.25</v>
      </c>
      <c r="D7" s="100">
        <f>Assumptions!$B92*Assumptions!D$99</f>
        <v>264.87</v>
      </c>
      <c r="E7" s="100">
        <f>Assumptions!$B92*Assumptions!E$99</f>
        <v>283.4109</v>
      </c>
      <c r="F7" s="100">
        <f>Assumptions!$B92*Assumptions!F$99</f>
        <v>301.8326085</v>
      </c>
      <c r="H7" s="48" t="str">
        <f t="shared" si="4"/>
        <v>Anti-bacterial Interior paint</v>
      </c>
      <c r="I7" s="100">
        <f>Assumptions!$C92*Assumptions!B$99</f>
        <v>56.25</v>
      </c>
      <c r="J7" s="100">
        <f>Assumptions!$C92*Assumptions!C$99</f>
        <v>61.3125</v>
      </c>
      <c r="K7" s="100">
        <f>Assumptions!$C92*Assumptions!D$99</f>
        <v>66.2175</v>
      </c>
      <c r="L7" s="100">
        <f>Assumptions!$C92*Assumptions!E$99</f>
        <v>70.852725</v>
      </c>
      <c r="M7" s="100">
        <f>Assumptions!$C92*Assumptions!F$99</f>
        <v>75.45815213</v>
      </c>
      <c r="O7" s="48" t="str">
        <f t="shared" si="1"/>
        <v>Anti-bacterial Interior paint</v>
      </c>
      <c r="P7" s="100">
        <f>Assumptions!$D92*Assumptions!B$99</f>
        <v>14.0625</v>
      </c>
      <c r="Q7" s="100">
        <f>Assumptions!$D92*Assumptions!C$99</f>
        <v>15.328125</v>
      </c>
      <c r="R7" s="100">
        <f>Assumptions!$D92*Assumptions!D$99</f>
        <v>16.554375</v>
      </c>
      <c r="S7" s="100">
        <f>Assumptions!$D92*Assumptions!E$99</f>
        <v>17.71318125</v>
      </c>
      <c r="T7" s="100">
        <f>Assumptions!$D92*Assumptions!F$99</f>
        <v>18.86453803</v>
      </c>
    </row>
    <row r="8" ht="15.75" customHeight="1">
      <c r="A8" s="48" t="str">
        <f>Sales!A7</f>
        <v>Silk emulsion</v>
      </c>
      <c r="B8" s="100">
        <f>Assumptions!$B93*Assumptions!B$99</f>
        <v>150</v>
      </c>
      <c r="C8" s="100">
        <f>Assumptions!$B93*Assumptions!C$99</f>
        <v>163.5</v>
      </c>
      <c r="D8" s="100">
        <f>Assumptions!$B93*Assumptions!D$99</f>
        <v>176.58</v>
      </c>
      <c r="E8" s="100">
        <f>Assumptions!$B93*Assumptions!E$99</f>
        <v>188.9406</v>
      </c>
      <c r="F8" s="100">
        <f>Assumptions!$B93*Assumptions!F$99</f>
        <v>201.221739</v>
      </c>
      <c r="H8" s="48" t="str">
        <f t="shared" si="4"/>
        <v>Silk emulsion</v>
      </c>
      <c r="I8" s="100">
        <f>Assumptions!$C93*Assumptions!B$99</f>
        <v>37.5</v>
      </c>
      <c r="J8" s="100">
        <f>Assumptions!$C93*Assumptions!C$99</f>
        <v>40.875</v>
      </c>
      <c r="K8" s="100">
        <f>Assumptions!$C93*Assumptions!D$99</f>
        <v>44.145</v>
      </c>
      <c r="L8" s="100">
        <f>Assumptions!$C93*Assumptions!E$99</f>
        <v>47.23515</v>
      </c>
      <c r="M8" s="100">
        <f>Assumptions!$C93*Assumptions!F$99</f>
        <v>50.30543475</v>
      </c>
      <c r="O8" s="48" t="str">
        <f t="shared" si="1"/>
        <v>Silk emulsion</v>
      </c>
      <c r="P8" s="100">
        <f>Assumptions!$D93*Assumptions!B$99</f>
        <v>9.375</v>
      </c>
      <c r="Q8" s="100">
        <f>Assumptions!$D93*Assumptions!C$99</f>
        <v>10.21875</v>
      </c>
      <c r="R8" s="100">
        <f>Assumptions!$D93*Assumptions!D$99</f>
        <v>11.03625</v>
      </c>
      <c r="S8" s="100">
        <f>Assumptions!$D93*Assumptions!E$99</f>
        <v>11.8087875</v>
      </c>
      <c r="T8" s="100">
        <f>Assumptions!$D93*Assumptions!F$99</f>
        <v>12.57635869</v>
      </c>
    </row>
    <row r="9" ht="15.75" customHeight="1">
      <c r="A9" s="48" t="str">
        <f>Sales!A8</f>
        <v>Weather resistent exterior paint</v>
      </c>
      <c r="B9" s="100">
        <f>Assumptions!$B94*Assumptions!B$99</f>
        <v>175</v>
      </c>
      <c r="C9" s="100">
        <f>Assumptions!$B94*Assumptions!C$99</f>
        <v>190.75</v>
      </c>
      <c r="D9" s="100">
        <f>Assumptions!$B94*Assumptions!D$99</f>
        <v>206.01</v>
      </c>
      <c r="E9" s="100">
        <f>Assumptions!$B94*Assumptions!E$99</f>
        <v>220.4307</v>
      </c>
      <c r="F9" s="100">
        <f>Assumptions!$B94*Assumptions!F$99</f>
        <v>234.7586955</v>
      </c>
      <c r="H9" s="48" t="str">
        <f t="shared" si="4"/>
        <v>Weather resistent exterior paint</v>
      </c>
      <c r="I9" s="100">
        <f>Assumptions!$C94*Assumptions!B$99</f>
        <v>43.75</v>
      </c>
      <c r="J9" s="100">
        <f>Assumptions!$C94*Assumptions!C$99</f>
        <v>47.6875</v>
      </c>
      <c r="K9" s="100">
        <f>Assumptions!$C94*Assumptions!D$99</f>
        <v>51.5025</v>
      </c>
      <c r="L9" s="100">
        <f>Assumptions!$C94*Assumptions!E$99</f>
        <v>55.107675</v>
      </c>
      <c r="M9" s="100">
        <f>Assumptions!$C94*Assumptions!F$99</f>
        <v>58.68967388</v>
      </c>
      <c r="O9" s="48" t="str">
        <f t="shared" si="1"/>
        <v>Weather resistent exterior paint</v>
      </c>
      <c r="P9" s="100">
        <f>Assumptions!$D94*Assumptions!B$99</f>
        <v>10.9375</v>
      </c>
      <c r="Q9" s="100">
        <f>Assumptions!$D94*Assumptions!C$99</f>
        <v>11.921875</v>
      </c>
      <c r="R9" s="100">
        <f>Assumptions!$D94*Assumptions!D$99</f>
        <v>12.875625</v>
      </c>
      <c r="S9" s="100">
        <f>Assumptions!$D94*Assumptions!E$99</f>
        <v>13.77691875</v>
      </c>
      <c r="T9" s="100">
        <f>Assumptions!$D94*Assumptions!F$99</f>
        <v>14.67241847</v>
      </c>
    </row>
    <row r="10" ht="15.75" customHeight="1">
      <c r="A10" s="48" t="str">
        <f>Sales!A9</f>
        <v>Super primer</v>
      </c>
      <c r="B10" s="100">
        <f>Assumptions!$B95*Assumptions!B$99</f>
        <v>100</v>
      </c>
      <c r="C10" s="100">
        <f>Assumptions!$B95*Assumptions!C$99</f>
        <v>109</v>
      </c>
      <c r="D10" s="100">
        <f>Assumptions!$B95*Assumptions!D$99</f>
        <v>117.72</v>
      </c>
      <c r="E10" s="100">
        <f>Assumptions!$B95*Assumptions!E$99</f>
        <v>125.9604</v>
      </c>
      <c r="F10" s="100">
        <f>Assumptions!$B95*Assumptions!F$99</f>
        <v>134.147826</v>
      </c>
      <c r="H10" s="48" t="str">
        <f t="shared" si="4"/>
        <v>Super primer</v>
      </c>
      <c r="I10" s="100">
        <f>Assumptions!$C95*Assumptions!B$99</f>
        <v>25</v>
      </c>
      <c r="J10" s="100">
        <f>Assumptions!$C95*Assumptions!C$99</f>
        <v>27.25</v>
      </c>
      <c r="K10" s="100">
        <f>Assumptions!$C95*Assumptions!D$99</f>
        <v>29.43</v>
      </c>
      <c r="L10" s="100">
        <f>Assumptions!$C95*Assumptions!E$99</f>
        <v>31.4901</v>
      </c>
      <c r="M10" s="100">
        <f>Assumptions!$C95*Assumptions!F$99</f>
        <v>33.5369565</v>
      </c>
      <c r="O10" s="48" t="str">
        <f t="shared" si="1"/>
        <v>Super primer</v>
      </c>
      <c r="P10" s="100">
        <f>Assumptions!$D95*Assumptions!B$99</f>
        <v>6.25</v>
      </c>
      <c r="Q10" s="100">
        <f>Assumptions!$D95*Assumptions!C$99</f>
        <v>6.8125</v>
      </c>
      <c r="R10" s="100">
        <f>Assumptions!$D95*Assumptions!D$99</f>
        <v>7.3575</v>
      </c>
      <c r="S10" s="100">
        <f>Assumptions!$D95*Assumptions!E$99</f>
        <v>7.872525</v>
      </c>
      <c r="T10" s="100">
        <f>Assumptions!$D95*Assumptions!F$99</f>
        <v>8.384239125</v>
      </c>
    </row>
    <row r="11" ht="15.75" customHeight="1">
      <c r="A11" s="48" t="str">
        <f>Sales!A10</f>
        <v>Synthetic Enamel</v>
      </c>
      <c r="B11" s="100">
        <f>Assumptions!$B96*Assumptions!B$99</f>
        <v>200</v>
      </c>
      <c r="C11" s="100">
        <f>Assumptions!$B96*Assumptions!C$99</f>
        <v>218</v>
      </c>
      <c r="D11" s="100">
        <f>Assumptions!$B96*Assumptions!D$99</f>
        <v>235.44</v>
      </c>
      <c r="E11" s="100">
        <f>Assumptions!$B96*Assumptions!E$99</f>
        <v>251.9208</v>
      </c>
      <c r="F11" s="100">
        <f>Assumptions!$B96*Assumptions!F$99</f>
        <v>268.295652</v>
      </c>
      <c r="H11" s="48" t="str">
        <f t="shared" si="4"/>
        <v>Synthetic Enamel</v>
      </c>
      <c r="I11" s="100">
        <f>Assumptions!$C96*Assumptions!B$99</f>
        <v>50</v>
      </c>
      <c r="J11" s="100">
        <f>Assumptions!$C96*Assumptions!C$99</f>
        <v>54.5</v>
      </c>
      <c r="K11" s="100">
        <f>Assumptions!$C96*Assumptions!D$99</f>
        <v>58.86</v>
      </c>
      <c r="L11" s="100">
        <f>Assumptions!$C96*Assumptions!E$99</f>
        <v>62.9802</v>
      </c>
      <c r="M11" s="100">
        <f>Assumptions!$C96*Assumptions!F$99</f>
        <v>67.073913</v>
      </c>
      <c r="O11" s="48" t="str">
        <f t="shared" si="1"/>
        <v>Synthetic Enamel</v>
      </c>
      <c r="P11" s="100">
        <f>Assumptions!$D96*Assumptions!B$99</f>
        <v>12.5</v>
      </c>
      <c r="Q11" s="100">
        <f>Assumptions!$D96*Assumptions!C$99</f>
        <v>13.625</v>
      </c>
      <c r="R11" s="100">
        <f>Assumptions!$D96*Assumptions!D$99</f>
        <v>14.715</v>
      </c>
      <c r="S11" s="100">
        <f>Assumptions!$D96*Assumptions!E$99</f>
        <v>15.74505</v>
      </c>
      <c r="T11" s="100">
        <f>Assumptions!$D96*Assumptions!F$99</f>
        <v>16.76847825</v>
      </c>
    </row>
    <row r="12" ht="15.75" customHeight="1">
      <c r="O12" s="48" t="str">
        <f t="shared" si="1"/>
        <v/>
      </c>
    </row>
    <row r="13" ht="15.75" customHeight="1">
      <c r="A13" s="43" t="s">
        <v>156</v>
      </c>
      <c r="B13" s="44">
        <f t="shared" ref="B13:F13" si="5">B5</f>
        <v>2026</v>
      </c>
      <c r="C13" s="44">
        <f t="shared" si="5"/>
        <v>2027</v>
      </c>
      <c r="D13" s="44">
        <f t="shared" si="5"/>
        <v>2028</v>
      </c>
      <c r="E13" s="44">
        <f t="shared" si="5"/>
        <v>2029</v>
      </c>
      <c r="F13" s="44">
        <f t="shared" si="5"/>
        <v>2030</v>
      </c>
      <c r="H13" s="43" t="str">
        <f t="shared" ref="H13:M13" si="6">A13</f>
        <v>DL cost PKR Mn</v>
      </c>
      <c r="I13" s="43">
        <f t="shared" si="6"/>
        <v>2026</v>
      </c>
      <c r="J13" s="43">
        <f t="shared" si="6"/>
        <v>2027</v>
      </c>
      <c r="K13" s="43">
        <f t="shared" si="6"/>
        <v>2028</v>
      </c>
      <c r="L13" s="43">
        <f t="shared" si="6"/>
        <v>2029</v>
      </c>
      <c r="M13" s="43">
        <f t="shared" si="6"/>
        <v>2030</v>
      </c>
      <c r="O13" s="43" t="str">
        <f t="shared" si="1"/>
        <v>DL cost PKR Mn</v>
      </c>
      <c r="P13" s="43">
        <f t="shared" ref="P13:T13" si="7">I13</f>
        <v>2026</v>
      </c>
      <c r="Q13" s="43">
        <f t="shared" si="7"/>
        <v>2027</v>
      </c>
      <c r="R13" s="43">
        <f t="shared" si="7"/>
        <v>2028</v>
      </c>
      <c r="S13" s="43">
        <f t="shared" si="7"/>
        <v>2029</v>
      </c>
      <c r="T13" s="43">
        <f t="shared" si="7"/>
        <v>2030</v>
      </c>
    </row>
    <row r="14" ht="15.75" customHeight="1">
      <c r="A14" s="48" t="str">
        <f t="shared" ref="A14:A19" si="8">A6</f>
        <v>Royal Matt Emulsion paint</v>
      </c>
      <c r="B14" s="118">
        <f>B6*Sales!C5/1000000</f>
        <v>3.125</v>
      </c>
      <c r="C14" s="118">
        <f>C6*Sales!D5/1000000</f>
        <v>6.471875</v>
      </c>
      <c r="D14" s="118">
        <f>D6*Sales!E5/1000000</f>
        <v>12.581325</v>
      </c>
      <c r="E14" s="118">
        <f>E6*Sales!F5/1000000</f>
        <v>21.5392284</v>
      </c>
      <c r="F14" s="118">
        <f>F6*Sales!G5/1000000</f>
        <v>32.11498954</v>
      </c>
      <c r="H14" s="48" t="str">
        <f t="shared" ref="H14:H20" si="9">A14</f>
        <v>Royal Matt Emulsion paint</v>
      </c>
      <c r="I14" s="100">
        <f>I6*Sales!J5/1000000</f>
        <v>0.9375</v>
      </c>
      <c r="J14" s="100">
        <f>J6*Sales!K5/1000000</f>
        <v>1.9415625</v>
      </c>
      <c r="K14" s="100">
        <f>K6*Sales!L5/1000000</f>
        <v>3.7743975</v>
      </c>
      <c r="L14" s="100">
        <f>L6*Sales!M5/1000000</f>
        <v>6.46176852</v>
      </c>
      <c r="M14" s="100">
        <f>M6*Sales!N5/1000000</f>
        <v>9.634496863</v>
      </c>
      <c r="O14" s="48" t="str">
        <f t="shared" si="1"/>
        <v>Royal Matt Emulsion paint</v>
      </c>
      <c r="P14" s="118">
        <f>P6*Sales!Q5/1000000</f>
        <v>0.1171875</v>
      </c>
      <c r="Q14" s="118">
        <f>Q6*Sales!R5/1000000</f>
        <v>0.2426953125</v>
      </c>
      <c r="R14" s="118">
        <f>R6*Sales!S5/1000000</f>
        <v>0.4717996875</v>
      </c>
      <c r="S14" s="118">
        <f>S6*Sales!T5/1000000</f>
        <v>0.807721065</v>
      </c>
      <c r="T14" s="118">
        <f>T6*Sales!U5/1000000</f>
        <v>1.204312108</v>
      </c>
    </row>
    <row r="15" ht="15.75" customHeight="1">
      <c r="A15" s="48" t="str">
        <f t="shared" si="8"/>
        <v>Anti-bacterial Interior paint</v>
      </c>
      <c r="B15" s="118">
        <f>B7*Sales!C6/1000000</f>
        <v>4.05</v>
      </c>
      <c r="C15" s="118">
        <f>C7*Sales!D6/1000000</f>
        <v>8.38755</v>
      </c>
      <c r="D15" s="118">
        <f>D7*Sales!E6/1000000</f>
        <v>16.3053972</v>
      </c>
      <c r="E15" s="118">
        <f>E7*Sales!F6/1000000</f>
        <v>27.91484001</v>
      </c>
      <c r="F15" s="118">
        <f>F7*Sales!G6/1000000</f>
        <v>41.62102645</v>
      </c>
      <c r="H15" s="48" t="str">
        <f t="shared" si="9"/>
        <v>Anti-bacterial Interior paint</v>
      </c>
      <c r="I15" s="100">
        <f>I7*Sales!J6/1000000</f>
        <v>1.29375</v>
      </c>
      <c r="J15" s="100">
        <f>J7*Sales!K6/1000000</f>
        <v>2.67935625</v>
      </c>
      <c r="K15" s="100">
        <f>K7*Sales!L6/1000000</f>
        <v>5.20866855</v>
      </c>
      <c r="L15" s="100">
        <f>L7*Sales!M6/1000000</f>
        <v>8.917240558</v>
      </c>
      <c r="M15" s="100">
        <f>M7*Sales!N6/1000000</f>
        <v>13.29560567</v>
      </c>
      <c r="O15" s="48" t="str">
        <f t="shared" si="1"/>
        <v>Anti-bacterial Interior paint</v>
      </c>
      <c r="P15" s="118">
        <f>P7*Sales!Q6/1000000</f>
        <v>0.1828125</v>
      </c>
      <c r="Q15" s="118">
        <f>Q7*Sales!R6/1000000</f>
        <v>0.3786046875</v>
      </c>
      <c r="R15" s="118">
        <f>R7*Sales!S6/1000000</f>
        <v>0.7360075125</v>
      </c>
      <c r="S15" s="118">
        <f>S7*Sales!T6/1000000</f>
        <v>1.260044861</v>
      </c>
      <c r="T15" s="118">
        <f>T7*Sales!U6/1000000</f>
        <v>1.878726888</v>
      </c>
    </row>
    <row r="16" ht="15.75" customHeight="1">
      <c r="A16" s="48" t="str">
        <f t="shared" si="8"/>
        <v>Silk emulsion</v>
      </c>
      <c r="B16" s="118">
        <f>B8*Sales!C7/1000000</f>
        <v>3.45</v>
      </c>
      <c r="C16" s="118">
        <f>C8*Sales!D7/1000000</f>
        <v>7.14495</v>
      </c>
      <c r="D16" s="118">
        <f>D8*Sales!E7/1000000</f>
        <v>13.8897828</v>
      </c>
      <c r="E16" s="118">
        <f>E8*Sales!F7/1000000</f>
        <v>23.77930815</v>
      </c>
      <c r="F16" s="118">
        <f>F8*Sales!G7/1000000</f>
        <v>35.45494846</v>
      </c>
      <c r="H16" s="48" t="str">
        <f t="shared" si="9"/>
        <v>Silk emulsion</v>
      </c>
      <c r="I16" s="100">
        <f>I8*Sales!J7/1000000</f>
        <v>1.0125</v>
      </c>
      <c r="J16" s="100">
        <f>J8*Sales!K7/1000000</f>
        <v>2.0968875</v>
      </c>
      <c r="K16" s="100">
        <f>K8*Sales!L7/1000000</f>
        <v>4.0763493</v>
      </c>
      <c r="L16" s="100">
        <f>L8*Sales!M7/1000000</f>
        <v>6.978710002</v>
      </c>
      <c r="M16" s="100">
        <f>M8*Sales!N7/1000000</f>
        <v>10.40525661</v>
      </c>
      <c r="O16" s="48" t="str">
        <f t="shared" si="1"/>
        <v>Silk emulsion</v>
      </c>
      <c r="P16" s="118">
        <f>P8*Sales!Q7/1000000</f>
        <v>0.159375</v>
      </c>
      <c r="Q16" s="118">
        <f>Q8*Sales!R7/1000000</f>
        <v>0.330065625</v>
      </c>
      <c r="R16" s="118">
        <f>R8*Sales!S7/1000000</f>
        <v>0.641647575</v>
      </c>
      <c r="S16" s="118">
        <f>S8*Sales!T7/1000000</f>
        <v>1.098500648</v>
      </c>
      <c r="T16" s="118">
        <f>T8*Sales!U7/1000000</f>
        <v>1.637864467</v>
      </c>
    </row>
    <row r="17" ht="15.75" customHeight="1">
      <c r="A17" s="48" t="str">
        <f t="shared" si="8"/>
        <v>Weather resistent exterior paint</v>
      </c>
      <c r="B17" s="118">
        <f>B9*Sales!C8/1000000</f>
        <v>5.25</v>
      </c>
      <c r="C17" s="118">
        <f>C9*Sales!D8/1000000</f>
        <v>10.87275</v>
      </c>
      <c r="D17" s="118">
        <f>D9*Sales!E8/1000000</f>
        <v>21.136626</v>
      </c>
      <c r="E17" s="118">
        <f>E9*Sales!F8/1000000</f>
        <v>36.18590371</v>
      </c>
      <c r="F17" s="118">
        <f>F9*Sales!G8/1000000</f>
        <v>53.95318243</v>
      </c>
      <c r="H17" s="48" t="str">
        <f t="shared" si="9"/>
        <v>Weather resistent exterior paint</v>
      </c>
      <c r="I17" s="100">
        <f>I9*Sales!J8/1000000</f>
        <v>1.53125</v>
      </c>
      <c r="J17" s="100">
        <f>J9*Sales!K8/1000000</f>
        <v>3.17121875</v>
      </c>
      <c r="K17" s="100">
        <f>K9*Sales!L8/1000000</f>
        <v>6.16484925</v>
      </c>
      <c r="L17" s="100">
        <f>L9*Sales!M8/1000000</f>
        <v>10.55422192</v>
      </c>
      <c r="M17" s="100">
        <f>M9*Sales!N8/1000000</f>
        <v>15.73634488</v>
      </c>
      <c r="O17" s="48" t="str">
        <f t="shared" si="1"/>
        <v>Weather resistent exterior paint</v>
      </c>
      <c r="P17" s="118">
        <f>P9*Sales!Q8/1000000</f>
        <v>0.2734375</v>
      </c>
      <c r="Q17" s="118">
        <f>Q9*Sales!R8/1000000</f>
        <v>0.5662890625</v>
      </c>
      <c r="R17" s="118">
        <f>R9*Sales!S8/1000000</f>
        <v>1.100865938</v>
      </c>
      <c r="S17" s="118">
        <f>S9*Sales!T8/1000000</f>
        <v>1.884682485</v>
      </c>
      <c r="T17" s="118">
        <f>T9*Sales!U8/1000000</f>
        <v>2.810061585</v>
      </c>
    </row>
    <row r="18" ht="15.75" customHeight="1">
      <c r="A18" s="48" t="str">
        <f t="shared" si="8"/>
        <v>Super primer</v>
      </c>
      <c r="B18" s="118">
        <f>B10*Sales!C9/1000000</f>
        <v>3.5</v>
      </c>
      <c r="C18" s="118">
        <f>C10*Sales!D9/1000000</f>
        <v>7.2485</v>
      </c>
      <c r="D18" s="118">
        <f>D10*Sales!E9/1000000</f>
        <v>14.091084</v>
      </c>
      <c r="E18" s="118">
        <f>E10*Sales!F9/1000000</f>
        <v>24.12393581</v>
      </c>
      <c r="F18" s="118">
        <f>F10*Sales!G9/1000000</f>
        <v>35.96878829</v>
      </c>
      <c r="H18" s="48" t="str">
        <f t="shared" si="9"/>
        <v>Super primer</v>
      </c>
      <c r="I18" s="100">
        <f>I10*Sales!J9/1000000</f>
        <v>1</v>
      </c>
      <c r="J18" s="100">
        <f>J10*Sales!K9/1000000</f>
        <v>2.071</v>
      </c>
      <c r="K18" s="100">
        <f>K10*Sales!L9/1000000</f>
        <v>4.026024</v>
      </c>
      <c r="L18" s="100">
        <f>L10*Sales!M9/1000000</f>
        <v>6.892553088</v>
      </c>
      <c r="M18" s="100">
        <f>M10*Sales!N9/1000000</f>
        <v>10.27679665</v>
      </c>
      <c r="O18" s="48" t="str">
        <f t="shared" si="1"/>
        <v>Super primer</v>
      </c>
      <c r="P18" s="118">
        <f>P10*Sales!Q9/1000000</f>
        <v>0.1875</v>
      </c>
      <c r="Q18" s="118">
        <f>Q10*Sales!R9/1000000</f>
        <v>0.3883125</v>
      </c>
      <c r="R18" s="118">
        <f>R10*Sales!S9/1000000</f>
        <v>0.7548795</v>
      </c>
      <c r="S18" s="118">
        <f>S10*Sales!T9/1000000</f>
        <v>1.292353704</v>
      </c>
      <c r="T18" s="118">
        <f>T10*Sales!U9/1000000</f>
        <v>1.926899373</v>
      </c>
    </row>
    <row r="19" ht="15.75" customHeight="1">
      <c r="A19" s="48" t="str">
        <f t="shared" si="8"/>
        <v>Synthetic Enamel</v>
      </c>
      <c r="B19" s="118">
        <f>B11*Sales!C10/1000000</f>
        <v>8</v>
      </c>
      <c r="C19" s="118">
        <f>C11*Sales!D10/1000000</f>
        <v>16.568</v>
      </c>
      <c r="D19" s="118">
        <f>D11*Sales!E10/1000000</f>
        <v>32.208192</v>
      </c>
      <c r="E19" s="118">
        <f>E11*Sales!F10/1000000</f>
        <v>55.1404247</v>
      </c>
      <c r="F19" s="118">
        <f>F11*Sales!G10/1000000</f>
        <v>82.21437323</v>
      </c>
      <c r="H19" s="48" t="str">
        <f t="shared" si="9"/>
        <v>Synthetic Enamel</v>
      </c>
      <c r="I19" s="100">
        <f>I11*Sales!J10/1000000</f>
        <v>2.25</v>
      </c>
      <c r="J19" s="100">
        <f>J11*Sales!K10/1000000</f>
        <v>4.65975</v>
      </c>
      <c r="K19" s="100">
        <f>K11*Sales!L10/1000000</f>
        <v>9.058554</v>
      </c>
      <c r="L19" s="100">
        <f>L11*Sales!M10/1000000</f>
        <v>15.50824445</v>
      </c>
      <c r="M19" s="100">
        <f>M11*Sales!N10/1000000</f>
        <v>23.12279247</v>
      </c>
      <c r="O19" s="48" t="str">
        <f t="shared" si="1"/>
        <v>Synthetic Enamel</v>
      </c>
      <c r="P19" s="118">
        <f>P11*Sales!Q10/1000000</f>
        <v>0.4375</v>
      </c>
      <c r="Q19" s="118">
        <f>Q11*Sales!R10/1000000</f>
        <v>0.9060625</v>
      </c>
      <c r="R19" s="118">
        <f>R11*Sales!S10/1000000</f>
        <v>1.7613855</v>
      </c>
      <c r="S19" s="118">
        <f>S11*Sales!T10/1000000</f>
        <v>3.015491976</v>
      </c>
      <c r="T19" s="118">
        <f>T11*Sales!U10/1000000</f>
        <v>4.496098536</v>
      </c>
    </row>
    <row r="20" ht="15.75" customHeight="1">
      <c r="A20" s="43" t="s">
        <v>157</v>
      </c>
      <c r="B20" s="119">
        <f t="shared" ref="B20:F20" si="10">SUM(B14:B19)</f>
        <v>27.375</v>
      </c>
      <c r="C20" s="119">
        <f t="shared" si="10"/>
        <v>56.693625</v>
      </c>
      <c r="D20" s="119">
        <f t="shared" si="10"/>
        <v>110.212407</v>
      </c>
      <c r="E20" s="119">
        <f t="shared" si="10"/>
        <v>188.6836408</v>
      </c>
      <c r="F20" s="119">
        <f t="shared" si="10"/>
        <v>281.3273084</v>
      </c>
      <c r="H20" s="43" t="str">
        <f t="shared" si="9"/>
        <v>Total DL cost</v>
      </c>
      <c r="I20" s="102">
        <f t="shared" ref="I20:M20" si="11">SUM(I14:I19)</f>
        <v>8.025</v>
      </c>
      <c r="J20" s="102">
        <f t="shared" si="11"/>
        <v>16.619775</v>
      </c>
      <c r="K20" s="102">
        <f t="shared" si="11"/>
        <v>32.3088426</v>
      </c>
      <c r="L20" s="102">
        <f t="shared" si="11"/>
        <v>55.31273853</v>
      </c>
      <c r="M20" s="102">
        <f t="shared" si="11"/>
        <v>82.47129315</v>
      </c>
      <c r="O20" s="120" t="str">
        <f t="shared" si="1"/>
        <v>Total DL cost</v>
      </c>
      <c r="P20" s="119">
        <f t="shared" ref="P20:T20" si="12">SUM(P14:P19)</f>
        <v>1.3578125</v>
      </c>
      <c r="Q20" s="119">
        <f t="shared" si="12"/>
        <v>2.812029688</v>
      </c>
      <c r="R20" s="119">
        <f t="shared" si="12"/>
        <v>5.466585713</v>
      </c>
      <c r="S20" s="119">
        <f t="shared" si="12"/>
        <v>9.35879474</v>
      </c>
      <c r="T20" s="119">
        <f t="shared" si="12"/>
        <v>13.95396296</v>
      </c>
    </row>
    <row r="21" ht="15.75" customHeight="1">
      <c r="O21" s="48" t="str">
        <f t="shared" si="1"/>
        <v/>
      </c>
    </row>
    <row r="22" ht="15.75" customHeight="1">
      <c r="A22" s="43" t="s">
        <v>158</v>
      </c>
      <c r="H22" s="48" t="str">
        <f>A22</f>
        <v>Raw Material Cost</v>
      </c>
      <c r="O22" s="43" t="str">
        <f t="shared" si="1"/>
        <v>Raw Material Cost</v>
      </c>
    </row>
    <row r="23" ht="15.75" customHeight="1">
      <c r="O23" s="48" t="str">
        <f t="shared" si="1"/>
        <v/>
      </c>
    </row>
    <row r="24" ht="15.75" customHeight="1">
      <c r="A24" s="43" t="s">
        <v>159</v>
      </c>
      <c r="B24" s="44">
        <f t="shared" ref="B24:F24" si="13">B13</f>
        <v>2026</v>
      </c>
      <c r="C24" s="44">
        <f t="shared" si="13"/>
        <v>2027</v>
      </c>
      <c r="D24" s="44">
        <f t="shared" si="13"/>
        <v>2028</v>
      </c>
      <c r="E24" s="44">
        <f t="shared" si="13"/>
        <v>2029</v>
      </c>
      <c r="F24" s="44">
        <f t="shared" si="13"/>
        <v>2030</v>
      </c>
      <c r="H24" s="43" t="str">
        <f t="shared" ref="H24:M24" si="14">A24</f>
        <v>Raw material Cost per product</v>
      </c>
      <c r="I24" s="43">
        <f t="shared" si="14"/>
        <v>2026</v>
      </c>
      <c r="J24" s="43">
        <f t="shared" si="14"/>
        <v>2027</v>
      </c>
      <c r="K24" s="43">
        <f t="shared" si="14"/>
        <v>2028</v>
      </c>
      <c r="L24" s="43">
        <f t="shared" si="14"/>
        <v>2029</v>
      </c>
      <c r="M24" s="43">
        <f t="shared" si="14"/>
        <v>2030</v>
      </c>
      <c r="O24" s="43" t="str">
        <f t="shared" si="1"/>
        <v>Raw material Cost per product</v>
      </c>
      <c r="P24" s="43">
        <f t="shared" ref="P24:T24" si="15">I24</f>
        <v>2026</v>
      </c>
      <c r="Q24" s="43">
        <f t="shared" si="15"/>
        <v>2027</v>
      </c>
      <c r="R24" s="43">
        <f t="shared" si="15"/>
        <v>2028</v>
      </c>
      <c r="S24" s="43">
        <f t="shared" si="15"/>
        <v>2029</v>
      </c>
      <c r="T24" s="43">
        <f t="shared" si="15"/>
        <v>2030</v>
      </c>
    </row>
    <row r="25" ht="15.75" customHeight="1">
      <c r="A25" s="48" t="str">
        <f t="shared" ref="A25:A30" si="16">A14</f>
        <v>Royal Matt Emulsion paint</v>
      </c>
      <c r="B25" s="48">
        <f>Assumptions!C41</f>
        <v>3876</v>
      </c>
      <c r="C25" s="100">
        <f>Assumptions!D41</f>
        <v>4220.12</v>
      </c>
      <c r="D25" s="100">
        <f>Assumptions!E41</f>
        <v>4573.13568</v>
      </c>
      <c r="E25" s="100">
        <f>Assumptions!F41</f>
        <v>4935.082685</v>
      </c>
      <c r="F25" s="100">
        <f>Assumptions!G41</f>
        <v>5316.37352</v>
      </c>
      <c r="H25" s="48" t="str">
        <f t="shared" ref="H25:H30" si="17">A25</f>
        <v>Royal Matt Emulsion paint</v>
      </c>
      <c r="I25" s="60">
        <f>Assumptions!K$41</f>
        <v>969</v>
      </c>
      <c r="J25" s="60">
        <f>Assumptions!L$41</f>
        <v>1055.03</v>
      </c>
      <c r="K25" s="60">
        <f>Assumptions!M$41</f>
        <v>1143.28392</v>
      </c>
      <c r="L25" s="60">
        <f>Assumptions!N$41</f>
        <v>1233.770671</v>
      </c>
      <c r="M25" s="60">
        <f>Assumptions!O$41</f>
        <v>1329.09338</v>
      </c>
      <c r="O25" s="48" t="str">
        <f t="shared" si="1"/>
        <v>Royal Matt Emulsion paint</v>
      </c>
      <c r="P25" s="60">
        <f>Assumptions!S41</f>
        <v>242.25</v>
      </c>
      <c r="Q25" s="60">
        <f>Assumptions!T41</f>
        <v>263.7575</v>
      </c>
      <c r="R25" s="60">
        <f>Assumptions!U41</f>
        <v>285.82098</v>
      </c>
      <c r="S25" s="60">
        <f>Assumptions!V41</f>
        <v>308.4426678</v>
      </c>
      <c r="T25" s="60">
        <f>Assumptions!W41</f>
        <v>332.273345</v>
      </c>
    </row>
    <row r="26" ht="15.75" customHeight="1">
      <c r="A26" s="48" t="str">
        <f t="shared" si="16"/>
        <v>Anti-bacterial Interior paint</v>
      </c>
      <c r="B26" s="48">
        <f>Assumptions!C51</f>
        <v>4635</v>
      </c>
      <c r="C26" s="100">
        <f>Assumptions!D51</f>
        <v>5046.31</v>
      </c>
      <c r="D26" s="100">
        <f>Assumptions!E51</f>
        <v>5469.07656</v>
      </c>
      <c r="E26" s="100">
        <f>Assumptions!F51</f>
        <v>5903.664598</v>
      </c>
      <c r="F26" s="100">
        <f>Assumptions!G51</f>
        <v>6362.271671</v>
      </c>
      <c r="H26" s="48" t="str">
        <f t="shared" si="17"/>
        <v>Anti-bacterial Interior paint</v>
      </c>
      <c r="I26" s="60">
        <f>Assumptions!K$51</f>
        <v>1158.75</v>
      </c>
      <c r="J26" s="60">
        <f>Assumptions!L$51</f>
        <v>1261.5775</v>
      </c>
      <c r="K26" s="60">
        <f>Assumptions!M$51</f>
        <v>1367.26914</v>
      </c>
      <c r="L26" s="60">
        <f>Assumptions!N$51</f>
        <v>1475.916149</v>
      </c>
      <c r="M26" s="60">
        <f>Assumptions!O$51</f>
        <v>1590.567918</v>
      </c>
      <c r="O26" s="48" t="str">
        <f t="shared" si="1"/>
        <v>Anti-bacterial Interior paint</v>
      </c>
      <c r="P26" s="60">
        <f>Assumptions!S51</f>
        <v>289.6875</v>
      </c>
      <c r="Q26" s="60">
        <f>Assumptions!T51</f>
        <v>315.394375</v>
      </c>
      <c r="R26" s="60">
        <f>Assumptions!U51</f>
        <v>341.817285</v>
      </c>
      <c r="S26" s="60">
        <f>Assumptions!V51</f>
        <v>368.9790374</v>
      </c>
      <c r="T26" s="60">
        <f>Assumptions!W51</f>
        <v>397.6419794</v>
      </c>
    </row>
    <row r="27" ht="15.75" customHeight="1">
      <c r="A27" s="48" t="str">
        <f t="shared" si="16"/>
        <v>Silk emulsion</v>
      </c>
      <c r="B27" s="48">
        <f>Assumptions!C60</f>
        <v>5408</v>
      </c>
      <c r="C27" s="100">
        <f>Assumptions!D60</f>
        <v>5890.928</v>
      </c>
      <c r="D27" s="100">
        <f>Assumptions!E60</f>
        <v>6401.063328</v>
      </c>
      <c r="E27" s="100">
        <f>Assumptions!F60</f>
        <v>6943.778115</v>
      </c>
      <c r="F27" s="100">
        <f>Assumptions!G60</f>
        <v>7529.545838</v>
      </c>
      <c r="H27" s="48" t="str">
        <f t="shared" si="17"/>
        <v>Silk emulsion</v>
      </c>
      <c r="I27" s="100">
        <f>Assumptions!K$60</f>
        <v>1352</v>
      </c>
      <c r="J27" s="100">
        <f>Assumptions!L$60</f>
        <v>1472.732</v>
      </c>
      <c r="K27" s="100">
        <f>Assumptions!M$60</f>
        <v>1600.265832</v>
      </c>
      <c r="L27" s="100">
        <f>Assumptions!N$60</f>
        <v>1735.944529</v>
      </c>
      <c r="M27" s="100">
        <f>Assumptions!O$60</f>
        <v>1882.386459</v>
      </c>
      <c r="O27" s="48" t="str">
        <f t="shared" si="1"/>
        <v>Silk emulsion</v>
      </c>
      <c r="P27" s="100">
        <f>Assumptions!S60</f>
        <v>338</v>
      </c>
      <c r="Q27" s="100">
        <f>Assumptions!T60</f>
        <v>368.183</v>
      </c>
      <c r="R27" s="100">
        <f>Assumptions!U60</f>
        <v>400.066458</v>
      </c>
      <c r="S27" s="100">
        <f>Assumptions!V60</f>
        <v>433.9861322</v>
      </c>
      <c r="T27" s="100">
        <f>Assumptions!W60</f>
        <v>470.5966149</v>
      </c>
    </row>
    <row r="28" ht="15.75" customHeight="1">
      <c r="A28" s="48" t="str">
        <f t="shared" si="16"/>
        <v>Weather resistent exterior paint</v>
      </c>
      <c r="B28" s="48">
        <f>Assumptions!C69</f>
        <v>5276</v>
      </c>
      <c r="C28" s="100">
        <f>Assumptions!D69</f>
        <v>5741</v>
      </c>
      <c r="D28" s="100">
        <f>Assumptions!E69</f>
        <v>6232.39776</v>
      </c>
      <c r="E28" s="100">
        <f>Assumptions!F69</f>
        <v>6755.865322</v>
      </c>
      <c r="F28" s="100">
        <f>Assumptions!G69</f>
        <v>7321.145493</v>
      </c>
      <c r="H28" s="48" t="str">
        <f t="shared" si="17"/>
        <v>Weather resistent exterior paint</v>
      </c>
      <c r="I28" s="100">
        <f>Assumptions!K69</f>
        <v>1319</v>
      </c>
      <c r="J28" s="100">
        <f>Assumptions!L69</f>
        <v>1435.25</v>
      </c>
      <c r="K28" s="100">
        <f>Assumptions!M69</f>
        <v>1558.09944</v>
      </c>
      <c r="L28" s="100">
        <f>Assumptions!N69</f>
        <v>1688.96633</v>
      </c>
      <c r="M28" s="100">
        <f>Assumptions!O69</f>
        <v>1830.286373</v>
      </c>
      <c r="O28" s="48" t="str">
        <f t="shared" si="1"/>
        <v>Weather resistent exterior paint</v>
      </c>
      <c r="P28" s="100">
        <f>Assumptions!S69</f>
        <v>329.75</v>
      </c>
      <c r="Q28" s="100">
        <f>Assumptions!T69</f>
        <v>358.8125</v>
      </c>
      <c r="R28" s="100">
        <f>Assumptions!U69</f>
        <v>389.52486</v>
      </c>
      <c r="S28" s="100">
        <f>Assumptions!V69</f>
        <v>422.2415826</v>
      </c>
      <c r="T28" s="100">
        <f>Assumptions!W69</f>
        <v>457.5715933</v>
      </c>
    </row>
    <row r="29" ht="15.75" customHeight="1">
      <c r="A29" s="48" t="str">
        <f t="shared" si="16"/>
        <v>Super primer</v>
      </c>
      <c r="B29" s="48">
        <f>Assumptions!C77</f>
        <v>2911</v>
      </c>
      <c r="C29" s="60">
        <f>Assumptions!D77</f>
        <v>3169.87</v>
      </c>
      <c r="D29" s="60">
        <f>Assumptions!E77</f>
        <v>3433.64328</v>
      </c>
      <c r="E29" s="60">
        <f>Assumptions!F77</f>
        <v>3701.647001</v>
      </c>
      <c r="F29" s="60">
        <f>Assumptions!G77</f>
        <v>3982.252496</v>
      </c>
      <c r="H29" s="48" t="str">
        <f t="shared" si="17"/>
        <v>Super primer</v>
      </c>
      <c r="I29" s="100">
        <f>Assumptions!K$77</f>
        <v>727.75</v>
      </c>
      <c r="J29" s="100">
        <f>Assumptions!L$77</f>
        <v>792.4675</v>
      </c>
      <c r="K29" s="100">
        <f>Assumptions!M$77</f>
        <v>858.41082</v>
      </c>
      <c r="L29" s="100">
        <f>Assumptions!N$77</f>
        <v>925.4117502</v>
      </c>
      <c r="M29" s="100">
        <f>Assumptions!O$77</f>
        <v>995.5631239</v>
      </c>
      <c r="O29" s="48" t="str">
        <f t="shared" si="1"/>
        <v>Super primer</v>
      </c>
      <c r="P29" s="100">
        <f>Assumptions!S77</f>
        <v>181.9375</v>
      </c>
      <c r="Q29" s="100">
        <f>Assumptions!T77</f>
        <v>198.116875</v>
      </c>
      <c r="R29" s="100">
        <f>Assumptions!U77</f>
        <v>214.602705</v>
      </c>
      <c r="S29" s="100">
        <f>Assumptions!V77</f>
        <v>231.3529376</v>
      </c>
      <c r="T29" s="100">
        <f>Assumptions!W77</f>
        <v>248.890781</v>
      </c>
    </row>
    <row r="30" ht="15.75" customHeight="1">
      <c r="A30" s="48" t="str">
        <f t="shared" si="16"/>
        <v>Synthetic Enamel</v>
      </c>
      <c r="B30" s="48">
        <f>Assumptions!C85</f>
        <v>7670</v>
      </c>
      <c r="C30" s="100">
        <f>Assumptions!D85</f>
        <v>8347.36</v>
      </c>
      <c r="D30" s="100">
        <f>Assumptions!E85</f>
        <v>9068.31296</v>
      </c>
      <c r="E30" s="100">
        <f>Assumptions!F85</f>
        <v>9842.749562</v>
      </c>
      <c r="F30" s="100">
        <f>Assumptions!G85</f>
        <v>10683.37627</v>
      </c>
      <c r="H30" s="48" t="str">
        <f t="shared" si="17"/>
        <v>Synthetic Enamel</v>
      </c>
      <c r="I30" s="100">
        <f>Assumptions!K$85</f>
        <v>1917.5</v>
      </c>
      <c r="J30" s="100">
        <f>Assumptions!L$85</f>
        <v>2086.84</v>
      </c>
      <c r="K30" s="100">
        <f>Assumptions!M$85</f>
        <v>2267.07824</v>
      </c>
      <c r="L30" s="100">
        <f>Assumptions!N$85</f>
        <v>2460.68739</v>
      </c>
      <c r="M30" s="100">
        <f>Assumptions!O$85</f>
        <v>2610.990634</v>
      </c>
      <c r="O30" s="48" t="str">
        <f t="shared" si="1"/>
        <v>Synthetic Enamel</v>
      </c>
      <c r="P30" s="100">
        <f>Assumptions!S85</f>
        <v>479.375</v>
      </c>
      <c r="Q30" s="100">
        <f>Assumptions!T85</f>
        <v>521.71</v>
      </c>
      <c r="R30" s="100">
        <f>Assumptions!U85</f>
        <v>566.76956</v>
      </c>
      <c r="S30" s="100">
        <f>Assumptions!V85</f>
        <v>615.1718476</v>
      </c>
      <c r="T30" s="100">
        <f>Assumptions!W85</f>
        <v>652.7476585</v>
      </c>
    </row>
    <row r="31" ht="15.75" customHeight="1">
      <c r="O31" s="48" t="str">
        <f t="shared" si="1"/>
        <v/>
      </c>
    </row>
    <row r="32" ht="15.75" customHeight="1">
      <c r="A32" s="43" t="s">
        <v>160</v>
      </c>
      <c r="B32" s="44">
        <f t="shared" ref="B32:F32" si="18">B24</f>
        <v>2026</v>
      </c>
      <c r="C32" s="44">
        <f t="shared" si="18"/>
        <v>2027</v>
      </c>
      <c r="D32" s="44">
        <f t="shared" si="18"/>
        <v>2028</v>
      </c>
      <c r="E32" s="44">
        <f t="shared" si="18"/>
        <v>2029</v>
      </c>
      <c r="F32" s="44">
        <f t="shared" si="18"/>
        <v>2030</v>
      </c>
      <c r="H32" s="43" t="str">
        <f t="shared" ref="H32:M32" si="19">A32</f>
        <v>Total RM cost PKR Mn</v>
      </c>
      <c r="I32" s="43">
        <f t="shared" si="19"/>
        <v>2026</v>
      </c>
      <c r="J32" s="43">
        <f t="shared" si="19"/>
        <v>2027</v>
      </c>
      <c r="K32" s="43">
        <f t="shared" si="19"/>
        <v>2028</v>
      </c>
      <c r="L32" s="43">
        <f t="shared" si="19"/>
        <v>2029</v>
      </c>
      <c r="M32" s="43">
        <f t="shared" si="19"/>
        <v>2030</v>
      </c>
      <c r="O32" s="43" t="str">
        <f t="shared" si="1"/>
        <v>Total RM cost PKR Mn</v>
      </c>
      <c r="P32" s="43">
        <f t="shared" ref="P32:T32" si="20">I32</f>
        <v>2026</v>
      </c>
      <c r="Q32" s="43">
        <f t="shared" si="20"/>
        <v>2027</v>
      </c>
      <c r="R32" s="43">
        <f t="shared" si="20"/>
        <v>2028</v>
      </c>
      <c r="S32" s="43">
        <f t="shared" si="20"/>
        <v>2029</v>
      </c>
      <c r="T32" s="43">
        <f t="shared" si="20"/>
        <v>2030</v>
      </c>
    </row>
    <row r="33" ht="15.75" customHeight="1">
      <c r="A33" s="48" t="str">
        <f t="shared" ref="A33:A38" si="21">A25</f>
        <v>Royal Matt Emulsion paint</v>
      </c>
      <c r="B33" s="100">
        <f>B25*Sales!C5/1000000</f>
        <v>96.9</v>
      </c>
      <c r="C33" s="100">
        <f>C25*Sales!D5/1000000</f>
        <v>200.4557</v>
      </c>
      <c r="D33" s="100">
        <f>D25*Sales!E5/1000000</f>
        <v>391.0031006</v>
      </c>
      <c r="E33" s="100">
        <f>E25*Sales!F5/1000000</f>
        <v>675.1193113</v>
      </c>
      <c r="F33" s="100">
        <f>F25*Sales!G5/1000000</f>
        <v>1018.191856</v>
      </c>
      <c r="H33" s="48" t="str">
        <f t="shared" ref="H33:H39" si="22">A33</f>
        <v>Royal Matt Emulsion paint</v>
      </c>
      <c r="I33" s="100">
        <f>I25*Sales!J5/1000000</f>
        <v>29.07</v>
      </c>
      <c r="J33" s="100">
        <f>J25*Sales!K5/1000000</f>
        <v>60.13671</v>
      </c>
      <c r="K33" s="100">
        <f>K25*Sales!L5/1000000</f>
        <v>117.3009302</v>
      </c>
      <c r="L33" s="100">
        <f>L25*Sales!M5/1000000</f>
        <v>202.5357934</v>
      </c>
      <c r="M33" s="100">
        <f>M25*Sales!N5/1000000</f>
        <v>305.4575569</v>
      </c>
      <c r="O33" s="48" t="str">
        <f t="shared" si="1"/>
        <v>Royal Matt Emulsion paint</v>
      </c>
      <c r="P33" s="100">
        <f>P25*Sales!Q5/1000000</f>
        <v>3.63375</v>
      </c>
      <c r="Q33" s="100">
        <f>Q25*Sales!R5/1000000</f>
        <v>7.51708875</v>
      </c>
      <c r="R33" s="100">
        <f>R25*Sales!S5/1000000</f>
        <v>14.66261627</v>
      </c>
      <c r="S33" s="100">
        <f>S25*Sales!T5/1000000</f>
        <v>25.31697417</v>
      </c>
      <c r="T33" s="100">
        <f>T25*Sales!U5/1000000</f>
        <v>38.18219462</v>
      </c>
    </row>
    <row r="34" ht="15.75" customHeight="1">
      <c r="A34" s="48" t="str">
        <f t="shared" si="21"/>
        <v>Anti-bacterial Interior paint</v>
      </c>
      <c r="B34" s="100">
        <f>B26*Sales!C6/1000000</f>
        <v>83.43</v>
      </c>
      <c r="C34" s="100">
        <f>C26*Sales!D6/1000000</f>
        <v>172.583802</v>
      </c>
      <c r="D34" s="100">
        <f>D26*Sales!E6/1000000</f>
        <v>336.676353</v>
      </c>
      <c r="E34" s="100">
        <f>E26*Sales!F6/1000000</f>
        <v>581.4873482</v>
      </c>
      <c r="F34" s="100">
        <f>F26*Sales!G6/1000000</f>
        <v>877.3216347</v>
      </c>
      <c r="H34" s="48" t="str">
        <f t="shared" si="22"/>
        <v>Anti-bacterial Interior paint</v>
      </c>
      <c r="I34" s="100">
        <f>I26*Sales!J6/1000000</f>
        <v>26.65125</v>
      </c>
      <c r="J34" s="100">
        <f>J26*Sales!K6/1000000</f>
        <v>55.13093675</v>
      </c>
      <c r="K34" s="100">
        <f>K26*Sales!L6/1000000</f>
        <v>107.5493906</v>
      </c>
      <c r="L34" s="100">
        <f>L26*Sales!M6/1000000</f>
        <v>185.7529029</v>
      </c>
      <c r="M34" s="100">
        <f>M26*Sales!N6/1000000</f>
        <v>280.2555222</v>
      </c>
      <c r="O34" s="48" t="str">
        <f t="shared" si="1"/>
        <v>Anti-bacterial Interior paint</v>
      </c>
      <c r="P34" s="100">
        <f>P26*Sales!Q6/1000000</f>
        <v>3.7659375</v>
      </c>
      <c r="Q34" s="100">
        <f>Q26*Sales!R6/1000000</f>
        <v>7.790241063</v>
      </c>
      <c r="R34" s="100">
        <f>R26*Sales!S6/1000000</f>
        <v>15.19719649</v>
      </c>
      <c r="S34" s="100">
        <f>S26*Sales!T6/1000000</f>
        <v>26.2476928</v>
      </c>
      <c r="T34" s="100">
        <f>T26*Sales!U6/1000000</f>
        <v>39.60132379</v>
      </c>
    </row>
    <row r="35" ht="15.75" customHeight="1">
      <c r="A35" s="48" t="str">
        <f t="shared" si="21"/>
        <v>Silk emulsion</v>
      </c>
      <c r="B35" s="100">
        <f>B27*Sales!C7/1000000</f>
        <v>124.384</v>
      </c>
      <c r="C35" s="100">
        <f>C27*Sales!D7/1000000</f>
        <v>257.4335536</v>
      </c>
      <c r="D35" s="100">
        <f>D27*Sales!E7/1000000</f>
        <v>503.5076414</v>
      </c>
      <c r="E35" s="100">
        <f>E27*Sales!F7/1000000</f>
        <v>873.9161384</v>
      </c>
      <c r="F35" s="100">
        <f>F27*Sales!G7/1000000</f>
        <v>1326.693929</v>
      </c>
      <c r="H35" s="48" t="str">
        <f t="shared" si="22"/>
        <v>Silk emulsion</v>
      </c>
      <c r="I35" s="100">
        <f>I27*Sales!J7/1000000</f>
        <v>36.504</v>
      </c>
      <c r="J35" s="100">
        <f>J27*Sales!K7/1000000</f>
        <v>75.5511516</v>
      </c>
      <c r="K35" s="100">
        <f>K27*Sales!L7/1000000</f>
        <v>147.7685469</v>
      </c>
      <c r="L35" s="100">
        <f>L27*Sales!M7/1000000</f>
        <v>256.4753885</v>
      </c>
      <c r="M35" s="100">
        <f>M27*Sales!N7/1000000</f>
        <v>389.3558271</v>
      </c>
      <c r="O35" s="48" t="str">
        <f t="shared" si="1"/>
        <v>Silk emulsion</v>
      </c>
      <c r="P35" s="100">
        <f>P27*Sales!Q7/1000000</f>
        <v>5.746</v>
      </c>
      <c r="Q35" s="100">
        <f>Q27*Sales!R7/1000000</f>
        <v>11.8923109</v>
      </c>
      <c r="R35" s="100">
        <f>R27*Sales!S7/1000000</f>
        <v>23.25986387</v>
      </c>
      <c r="S35" s="100">
        <f>S27*Sales!T7/1000000</f>
        <v>40.37112596</v>
      </c>
      <c r="T35" s="100">
        <f>T27*Sales!U7/1000000</f>
        <v>61.2874913</v>
      </c>
    </row>
    <row r="36" ht="15.75" customHeight="1">
      <c r="A36" s="48" t="str">
        <f t="shared" si="21"/>
        <v>Weather resistent exterior paint</v>
      </c>
      <c r="B36" s="100">
        <f>B28*Sales!C8/1000000</f>
        <v>158.28</v>
      </c>
      <c r="C36" s="100">
        <f>C28*Sales!D8/1000000</f>
        <v>327.237</v>
      </c>
      <c r="D36" s="100">
        <f>D28*Sales!E8/1000000</f>
        <v>639.4440102</v>
      </c>
      <c r="E36" s="100">
        <f>E28*Sales!F8/1000000</f>
        <v>1109.042851</v>
      </c>
      <c r="F36" s="100">
        <f>F28*Sales!G8/1000000</f>
        <v>1682.574942</v>
      </c>
      <c r="H36" s="48" t="str">
        <f t="shared" si="22"/>
        <v>Weather resistent exterior paint</v>
      </c>
      <c r="I36" s="100">
        <f>I28*Sales!J8/1000000</f>
        <v>46.165</v>
      </c>
      <c r="J36" s="100">
        <f>J28*Sales!K8/1000000</f>
        <v>95.444125</v>
      </c>
      <c r="K36" s="100">
        <f>K28*Sales!L8/1000000</f>
        <v>186.504503</v>
      </c>
      <c r="L36" s="100">
        <f>L28*Sales!M8/1000000</f>
        <v>323.4708316</v>
      </c>
      <c r="M36" s="100">
        <f>M28*Sales!N8/1000000</f>
        <v>490.7510247</v>
      </c>
      <c r="O36" s="48" t="str">
        <f t="shared" si="1"/>
        <v>Weather resistent exterior paint</v>
      </c>
      <c r="P36" s="100">
        <f>P28*Sales!Q8/1000000</f>
        <v>8.24375</v>
      </c>
      <c r="Q36" s="100">
        <f>Q28*Sales!R8/1000000</f>
        <v>17.04359375</v>
      </c>
      <c r="R36" s="100">
        <f>R28*Sales!S8/1000000</f>
        <v>33.30437553</v>
      </c>
      <c r="S36" s="100">
        <f>S28*Sales!T8/1000000</f>
        <v>57.7626485</v>
      </c>
      <c r="T36" s="100">
        <f>T28*Sales!U8/1000000</f>
        <v>87.63411156</v>
      </c>
    </row>
    <row r="37" ht="15.75" customHeight="1">
      <c r="A37" s="48" t="str">
        <f t="shared" si="21"/>
        <v>Super primer</v>
      </c>
      <c r="B37" s="100">
        <f>B29*Sales!C9/1000000</f>
        <v>101.885</v>
      </c>
      <c r="C37" s="100">
        <f>C29*Sales!D9/1000000</f>
        <v>210.796355</v>
      </c>
      <c r="D37" s="100">
        <f>D29*Sales!E9/1000000</f>
        <v>411.0071006</v>
      </c>
      <c r="E37" s="100">
        <f>E29*Sales!F9/1000000</f>
        <v>708.9394336</v>
      </c>
      <c r="F37" s="100">
        <f>F29*Sales!G9/1000000</f>
        <v>1067.753397</v>
      </c>
      <c r="H37" s="48" t="str">
        <f t="shared" si="22"/>
        <v>Super primer</v>
      </c>
      <c r="I37" s="100">
        <f>I29*Sales!J9/1000000</f>
        <v>29.11</v>
      </c>
      <c r="J37" s="100">
        <f>J29*Sales!K9/1000000</f>
        <v>60.22753</v>
      </c>
      <c r="K37" s="100">
        <f>K29*Sales!L9/1000000</f>
        <v>117.4306002</v>
      </c>
      <c r="L37" s="100">
        <f>L29*Sales!M9/1000000</f>
        <v>202.5541239</v>
      </c>
      <c r="M37" s="100">
        <f>M29*Sales!N9/1000000</f>
        <v>305.0723992</v>
      </c>
      <c r="O37" s="48" t="str">
        <f t="shared" si="1"/>
        <v>Super primer</v>
      </c>
      <c r="P37" s="100">
        <f>P29*Sales!Q9/1000000</f>
        <v>5.458125</v>
      </c>
      <c r="Q37" s="100">
        <f>Q29*Sales!R9/1000000</f>
        <v>11.29266188</v>
      </c>
      <c r="R37" s="100">
        <f>R29*Sales!S9/1000000</f>
        <v>22.01823753</v>
      </c>
      <c r="S37" s="100">
        <f>S29*Sales!T9/1000000</f>
        <v>37.97889823</v>
      </c>
      <c r="T37" s="100">
        <f>T29*Sales!U9/1000000</f>
        <v>57.20107485</v>
      </c>
    </row>
    <row r="38" ht="15.75" customHeight="1">
      <c r="A38" s="48" t="str">
        <f t="shared" si="21"/>
        <v>Synthetic Enamel</v>
      </c>
      <c r="B38" s="100">
        <f>B30*Sales!C10/1000000</f>
        <v>306.8</v>
      </c>
      <c r="C38" s="100">
        <f>C30*Sales!D10/1000000</f>
        <v>634.39936</v>
      </c>
      <c r="D38" s="100">
        <f>D30*Sales!E10/1000000</f>
        <v>1240.545213</v>
      </c>
      <c r="E38" s="100">
        <f>E30*Sales!F10/1000000</f>
        <v>2154.381024</v>
      </c>
      <c r="F38" s="100">
        <f>F30*Sales!G10/1000000</f>
        <v>3273.728358</v>
      </c>
      <c r="H38" s="48" t="str">
        <f t="shared" si="22"/>
        <v>Synthetic Enamel</v>
      </c>
      <c r="I38" s="100">
        <f>I30*Sales!J10/1000000</f>
        <v>86.2875</v>
      </c>
      <c r="J38" s="100">
        <f>J30*Sales!K10/1000000</f>
        <v>178.42482</v>
      </c>
      <c r="K38" s="100">
        <f>K30*Sales!L10/1000000</f>
        <v>348.9033411</v>
      </c>
      <c r="L38" s="100">
        <f>L30*Sales!M10/1000000</f>
        <v>605.919663</v>
      </c>
      <c r="M38" s="100">
        <f>M30*Sales!N10/1000000</f>
        <v>900.1024671</v>
      </c>
      <c r="O38" s="48" t="str">
        <f t="shared" si="1"/>
        <v>Synthetic Enamel</v>
      </c>
      <c r="P38" s="100">
        <f>P30*Sales!Q10/1000000</f>
        <v>16.778125</v>
      </c>
      <c r="Q38" s="100">
        <f>Q30*Sales!R10/1000000</f>
        <v>34.693715</v>
      </c>
      <c r="R38" s="100">
        <f>R30*Sales!S10/1000000</f>
        <v>67.84231633</v>
      </c>
      <c r="S38" s="100">
        <f>S30*Sales!T10/1000000</f>
        <v>117.8177123</v>
      </c>
      <c r="T38" s="100">
        <f>T30*Sales!U10/1000000</f>
        <v>175.0199242</v>
      </c>
    </row>
    <row r="39" ht="15.75" customHeight="1">
      <c r="A39" s="43" t="s">
        <v>160</v>
      </c>
      <c r="B39" s="121">
        <f t="shared" ref="B39:F39" si="23">SUM(B33:B38)</f>
        <v>871.679</v>
      </c>
      <c r="C39" s="121">
        <f t="shared" si="23"/>
        <v>1802.905771</v>
      </c>
      <c r="D39" s="121">
        <f t="shared" si="23"/>
        <v>3522.183419</v>
      </c>
      <c r="E39" s="121">
        <f t="shared" si="23"/>
        <v>6102.886107</v>
      </c>
      <c r="F39" s="121">
        <f t="shared" si="23"/>
        <v>9246.264118</v>
      </c>
      <c r="H39" s="43" t="str">
        <f t="shared" si="22"/>
        <v>Total RM cost PKR Mn</v>
      </c>
      <c r="I39" s="121">
        <f t="shared" ref="I39:M39" si="24">SUM(I33:I38)</f>
        <v>253.78775</v>
      </c>
      <c r="J39" s="121">
        <f t="shared" si="24"/>
        <v>524.9152734</v>
      </c>
      <c r="K39" s="121">
        <f t="shared" si="24"/>
        <v>1025.457312</v>
      </c>
      <c r="L39" s="121">
        <f t="shared" si="24"/>
        <v>1776.708703</v>
      </c>
      <c r="M39" s="121">
        <f t="shared" si="24"/>
        <v>2670.994797</v>
      </c>
      <c r="O39" s="43" t="str">
        <f t="shared" si="1"/>
        <v>Total RM cost PKR Mn</v>
      </c>
      <c r="P39" s="102">
        <f t="shared" ref="P39:T39" si="25">SUM(P33:P38)</f>
        <v>43.6256875</v>
      </c>
      <c r="Q39" s="102">
        <f t="shared" si="25"/>
        <v>90.22961134</v>
      </c>
      <c r="R39" s="102">
        <f t="shared" si="25"/>
        <v>176.284606</v>
      </c>
      <c r="S39" s="102">
        <f t="shared" si="25"/>
        <v>305.4950519</v>
      </c>
      <c r="T39" s="102">
        <f t="shared" si="25"/>
        <v>458.9261203</v>
      </c>
    </row>
    <row r="40" ht="15.75" customHeight="1">
      <c r="O40" s="48" t="str">
        <f t="shared" si="1"/>
        <v/>
      </c>
    </row>
    <row r="41" ht="15.75" customHeight="1">
      <c r="B41" s="44">
        <f t="shared" ref="B41:F41" si="26">B24</f>
        <v>2026</v>
      </c>
      <c r="C41" s="44">
        <f t="shared" si="26"/>
        <v>2027</v>
      </c>
      <c r="D41" s="44">
        <f t="shared" si="26"/>
        <v>2028</v>
      </c>
      <c r="E41" s="44">
        <f t="shared" si="26"/>
        <v>2029</v>
      </c>
      <c r="F41" s="44">
        <f t="shared" si="26"/>
        <v>2030</v>
      </c>
      <c r="I41" s="43">
        <f t="shared" ref="I41:M41" si="27">B41</f>
        <v>2026</v>
      </c>
      <c r="J41" s="43">
        <f t="shared" si="27"/>
        <v>2027</v>
      </c>
      <c r="K41" s="43">
        <f t="shared" si="27"/>
        <v>2028</v>
      </c>
      <c r="L41" s="43">
        <f t="shared" si="27"/>
        <v>2029</v>
      </c>
      <c r="M41" s="43">
        <f t="shared" si="27"/>
        <v>2030</v>
      </c>
      <c r="O41" s="48" t="str">
        <f t="shared" si="1"/>
        <v/>
      </c>
    </row>
    <row r="42" ht="15.75" customHeight="1">
      <c r="O42" s="48" t="str">
        <f t="shared" si="1"/>
        <v/>
      </c>
    </row>
    <row r="43" ht="15.75" customHeight="1">
      <c r="A43" s="43" t="s">
        <v>161</v>
      </c>
      <c r="B43" s="122">
        <f t="shared" ref="B43:F43" si="28">B39+B20</f>
        <v>899.054</v>
      </c>
      <c r="C43" s="122">
        <f t="shared" si="28"/>
        <v>1859.599396</v>
      </c>
      <c r="D43" s="122">
        <f t="shared" si="28"/>
        <v>3632.395826</v>
      </c>
      <c r="E43" s="122">
        <f t="shared" si="28"/>
        <v>6291.569748</v>
      </c>
      <c r="F43" s="122">
        <f t="shared" si="28"/>
        <v>9527.591427</v>
      </c>
      <c r="H43" s="43" t="str">
        <f>A43</f>
        <v>Total COS</v>
      </c>
      <c r="I43" s="102">
        <f t="shared" ref="I43:M43" si="29">I39+I20</f>
        <v>261.81275</v>
      </c>
      <c r="J43" s="102">
        <f t="shared" si="29"/>
        <v>541.5350484</v>
      </c>
      <c r="K43" s="102">
        <f t="shared" si="29"/>
        <v>1057.766155</v>
      </c>
      <c r="L43" s="102">
        <f t="shared" si="29"/>
        <v>1832.021442</v>
      </c>
      <c r="M43" s="102">
        <f t="shared" si="29"/>
        <v>2753.46609</v>
      </c>
      <c r="O43" s="43" t="str">
        <f t="shared" si="1"/>
        <v>Total COS</v>
      </c>
      <c r="P43" s="122">
        <f t="shared" ref="P43:T43" si="30">P39+P20</f>
        <v>44.9835</v>
      </c>
      <c r="Q43" s="122">
        <f t="shared" si="30"/>
        <v>93.04164103</v>
      </c>
      <c r="R43" s="122">
        <f t="shared" si="30"/>
        <v>181.7511917</v>
      </c>
      <c r="S43" s="122">
        <f t="shared" si="30"/>
        <v>314.8538467</v>
      </c>
      <c r="T43" s="122">
        <f t="shared" si="30"/>
        <v>472.8800832</v>
      </c>
    </row>
    <row r="44" ht="15.75" customHeight="1">
      <c r="O44" s="48" t="str">
        <f t="shared" si="1"/>
        <v/>
      </c>
    </row>
    <row r="45" ht="15.75" customHeight="1">
      <c r="A45" s="43" t="s">
        <v>162</v>
      </c>
      <c r="B45" s="44">
        <f t="shared" ref="B45:F45" si="31">B41</f>
        <v>2026</v>
      </c>
      <c r="C45" s="44">
        <f t="shared" si="31"/>
        <v>2027</v>
      </c>
      <c r="D45" s="44">
        <f t="shared" si="31"/>
        <v>2028</v>
      </c>
      <c r="E45" s="44">
        <f t="shared" si="31"/>
        <v>2029</v>
      </c>
      <c r="F45" s="44">
        <f t="shared" si="31"/>
        <v>2030</v>
      </c>
      <c r="H45" s="43" t="str">
        <f t="shared" ref="H45:M45" si="32">A45</f>
        <v>Packaging and label Cost per product</v>
      </c>
      <c r="I45" s="43">
        <f t="shared" si="32"/>
        <v>2026</v>
      </c>
      <c r="J45" s="43">
        <f t="shared" si="32"/>
        <v>2027</v>
      </c>
      <c r="K45" s="43">
        <f t="shared" si="32"/>
        <v>2028</v>
      </c>
      <c r="L45" s="43">
        <f t="shared" si="32"/>
        <v>2029</v>
      </c>
      <c r="M45" s="43">
        <f t="shared" si="32"/>
        <v>2030</v>
      </c>
      <c r="O45" s="43" t="str">
        <f t="shared" si="1"/>
        <v>Packaging and label Cost per product</v>
      </c>
      <c r="P45" s="43">
        <f t="shared" ref="P45:T45" si="33">I45</f>
        <v>2026</v>
      </c>
      <c r="Q45" s="43">
        <f t="shared" si="33"/>
        <v>2027</v>
      </c>
      <c r="R45" s="43">
        <f t="shared" si="33"/>
        <v>2028</v>
      </c>
      <c r="S45" s="43">
        <f t="shared" si="33"/>
        <v>2029</v>
      </c>
      <c r="T45" s="43">
        <f t="shared" si="33"/>
        <v>2030</v>
      </c>
    </row>
    <row r="46" ht="15.75" customHeight="1">
      <c r="A46" s="48" t="str">
        <f t="shared" ref="A46:A51" si="34">A33</f>
        <v>Royal Matt Emulsion paint</v>
      </c>
      <c r="B46" s="100">
        <f>Assumptions!B102</f>
        <v>400</v>
      </c>
      <c r="C46" s="100">
        <f>Assumptions!C102</f>
        <v>436</v>
      </c>
      <c r="D46" s="100">
        <f>Assumptions!D102</f>
        <v>470.88</v>
      </c>
      <c r="E46" s="100">
        <f>Assumptions!E102</f>
        <v>503.8416</v>
      </c>
      <c r="F46" s="100">
        <f>Assumptions!F102</f>
        <v>536.591304</v>
      </c>
      <c r="H46" s="48" t="str">
        <f t="shared" ref="H46:H51" si="35">A46</f>
        <v>Royal Matt Emulsion paint</v>
      </c>
      <c r="I46" s="48">
        <f>Assumptions!I102</f>
        <v>350</v>
      </c>
      <c r="J46" s="60">
        <f>Assumptions!J102</f>
        <v>381.5</v>
      </c>
      <c r="K46" s="60">
        <f>Assumptions!K102</f>
        <v>412.02</v>
      </c>
      <c r="L46" s="60">
        <f>Assumptions!L102</f>
        <v>440.8614</v>
      </c>
      <c r="M46" s="60">
        <f>Assumptions!M102</f>
        <v>469.517391</v>
      </c>
      <c r="O46" s="48" t="str">
        <f t="shared" si="1"/>
        <v>Royal Matt Emulsion paint</v>
      </c>
      <c r="P46" s="48">
        <f>Assumptions!P102</f>
        <v>88</v>
      </c>
      <c r="Q46" s="60">
        <f>Assumptions!Q102</f>
        <v>95.92</v>
      </c>
      <c r="R46" s="60">
        <f>Assumptions!R102</f>
        <v>103.5936</v>
      </c>
      <c r="S46" s="60">
        <f>Assumptions!S102</f>
        <v>110.845152</v>
      </c>
      <c r="T46" s="60">
        <f>Assumptions!T102</f>
        <v>118.0500869</v>
      </c>
    </row>
    <row r="47" ht="15.75" customHeight="1">
      <c r="A47" s="48" t="str">
        <f t="shared" si="34"/>
        <v>Anti-bacterial Interior paint</v>
      </c>
      <c r="B47" s="100">
        <f>Assumptions!B103</f>
        <v>420</v>
      </c>
      <c r="C47" s="100">
        <f>Assumptions!C103</f>
        <v>457.8</v>
      </c>
      <c r="D47" s="100">
        <f>Assumptions!D103</f>
        <v>494.424</v>
      </c>
      <c r="E47" s="100">
        <f>Assumptions!E103</f>
        <v>529.03368</v>
      </c>
      <c r="F47" s="100">
        <f>Assumptions!F103</f>
        <v>563.4208692</v>
      </c>
      <c r="H47" s="48" t="str">
        <f t="shared" si="35"/>
        <v>Anti-bacterial Interior paint</v>
      </c>
      <c r="I47" s="48">
        <f>Assumptions!I103</f>
        <v>368</v>
      </c>
      <c r="J47" s="60">
        <f>Assumptions!J103</f>
        <v>401.12</v>
      </c>
      <c r="K47" s="60">
        <f>Assumptions!K103</f>
        <v>433.2096</v>
      </c>
      <c r="L47" s="60">
        <f>Assumptions!L103</f>
        <v>463.534272</v>
      </c>
      <c r="M47" s="60">
        <f>Assumptions!M103</f>
        <v>493.6639997</v>
      </c>
      <c r="O47" s="48" t="str">
        <f t="shared" si="1"/>
        <v>Anti-bacterial Interior paint</v>
      </c>
      <c r="P47" s="48">
        <f>Assumptions!P103</f>
        <v>92</v>
      </c>
      <c r="Q47" s="60">
        <f>Assumptions!Q103</f>
        <v>100.28</v>
      </c>
      <c r="R47" s="60">
        <f>Assumptions!R103</f>
        <v>108.3024</v>
      </c>
      <c r="S47" s="60">
        <f>Assumptions!S103</f>
        <v>115.883568</v>
      </c>
      <c r="T47" s="60">
        <f>Assumptions!T103</f>
        <v>123.4159999</v>
      </c>
    </row>
    <row r="48" ht="15.75" customHeight="1">
      <c r="A48" s="48" t="str">
        <f t="shared" si="34"/>
        <v>Silk emulsion</v>
      </c>
      <c r="B48" s="100">
        <f>Assumptions!B104</f>
        <v>450</v>
      </c>
      <c r="C48" s="100">
        <f>Assumptions!C104</f>
        <v>490.5</v>
      </c>
      <c r="D48" s="100">
        <f>Assumptions!D104</f>
        <v>529.74</v>
      </c>
      <c r="E48" s="100">
        <f>Assumptions!E104</f>
        <v>566.8218</v>
      </c>
      <c r="F48" s="100">
        <f>Assumptions!F104</f>
        <v>603.665217</v>
      </c>
      <c r="H48" s="48" t="str">
        <f t="shared" si="35"/>
        <v>Silk emulsion</v>
      </c>
      <c r="I48" s="48">
        <f>Assumptions!I104</f>
        <v>394</v>
      </c>
      <c r="J48" s="60">
        <f>Assumptions!J104</f>
        <v>429.46</v>
      </c>
      <c r="K48" s="60">
        <f>Assumptions!K104</f>
        <v>463.8168</v>
      </c>
      <c r="L48" s="60">
        <f>Assumptions!L104</f>
        <v>496.283976</v>
      </c>
      <c r="M48" s="60">
        <f>Assumptions!M104</f>
        <v>528.5424344</v>
      </c>
      <c r="O48" s="48" t="str">
        <f t="shared" si="1"/>
        <v>Silk emulsion</v>
      </c>
      <c r="P48" s="48">
        <f>Assumptions!P104</f>
        <v>98</v>
      </c>
      <c r="Q48" s="60">
        <f>Assumptions!Q104</f>
        <v>106.82</v>
      </c>
      <c r="R48" s="60">
        <f>Assumptions!R104</f>
        <v>115.3656</v>
      </c>
      <c r="S48" s="60">
        <f>Assumptions!S104</f>
        <v>123.441192</v>
      </c>
      <c r="T48" s="60">
        <f>Assumptions!T104</f>
        <v>131.4648695</v>
      </c>
    </row>
    <row r="49" ht="15.75" customHeight="1">
      <c r="A49" s="48" t="str">
        <f t="shared" si="34"/>
        <v>Weather resistent exterior paint</v>
      </c>
      <c r="B49" s="100">
        <f>Assumptions!B105</f>
        <v>480</v>
      </c>
      <c r="C49" s="100">
        <f>Assumptions!C105</f>
        <v>523.2</v>
      </c>
      <c r="D49" s="100">
        <f>Assumptions!D105</f>
        <v>565.056</v>
      </c>
      <c r="E49" s="100">
        <f>Assumptions!E105</f>
        <v>604.60992</v>
      </c>
      <c r="F49" s="100">
        <f>Assumptions!F105</f>
        <v>643.9095648</v>
      </c>
      <c r="H49" s="48" t="str">
        <f t="shared" si="35"/>
        <v>Weather resistent exterior paint</v>
      </c>
      <c r="I49" s="48">
        <f>Assumptions!I105</f>
        <v>420</v>
      </c>
      <c r="J49" s="60">
        <f>Assumptions!J105</f>
        <v>457.8</v>
      </c>
      <c r="K49" s="60">
        <f>Assumptions!K105</f>
        <v>494.424</v>
      </c>
      <c r="L49" s="60">
        <f>Assumptions!L105</f>
        <v>529.03368</v>
      </c>
      <c r="M49" s="60">
        <f>Assumptions!M105</f>
        <v>563.4208692</v>
      </c>
      <c r="O49" s="48" t="str">
        <f t="shared" si="1"/>
        <v>Weather resistent exterior paint</v>
      </c>
      <c r="P49" s="48">
        <f>Assumptions!P105</f>
        <v>105</v>
      </c>
      <c r="Q49" s="60">
        <f>Assumptions!Q105</f>
        <v>114.45</v>
      </c>
      <c r="R49" s="60">
        <f>Assumptions!R105</f>
        <v>123.606</v>
      </c>
      <c r="S49" s="60">
        <f>Assumptions!S105</f>
        <v>132.25842</v>
      </c>
      <c r="T49" s="60">
        <f>Assumptions!T105</f>
        <v>140.8552173</v>
      </c>
    </row>
    <row r="50" ht="15.75" customHeight="1">
      <c r="A50" s="48" t="str">
        <f t="shared" si="34"/>
        <v>Super primer</v>
      </c>
      <c r="B50" s="100">
        <f>Assumptions!B106</f>
        <v>380</v>
      </c>
      <c r="C50" s="100">
        <f>Assumptions!C106</f>
        <v>414.2</v>
      </c>
      <c r="D50" s="100">
        <f>Assumptions!D106</f>
        <v>447.336</v>
      </c>
      <c r="E50" s="100">
        <f>Assumptions!E106</f>
        <v>478.64952</v>
      </c>
      <c r="F50" s="100">
        <f>Assumptions!F106</f>
        <v>509.7617388</v>
      </c>
      <c r="H50" s="48" t="str">
        <f t="shared" si="35"/>
        <v>Super primer</v>
      </c>
      <c r="I50" s="48">
        <f>Assumptions!I106</f>
        <v>333</v>
      </c>
      <c r="J50" s="60">
        <f>Assumptions!J106</f>
        <v>362.97</v>
      </c>
      <c r="K50" s="60">
        <f>Assumptions!K106</f>
        <v>392.0076</v>
      </c>
      <c r="L50" s="60">
        <f>Assumptions!L106</f>
        <v>419.448132</v>
      </c>
      <c r="M50" s="60">
        <f>Assumptions!M106</f>
        <v>446.7122606</v>
      </c>
      <c r="O50" s="48" t="str">
        <f t="shared" si="1"/>
        <v>Super primer</v>
      </c>
      <c r="P50" s="48">
        <f>Assumptions!P106</f>
        <v>83</v>
      </c>
      <c r="Q50" s="60">
        <f>Assumptions!Q106</f>
        <v>90.47</v>
      </c>
      <c r="R50" s="60">
        <f>Assumptions!R106</f>
        <v>97.7076</v>
      </c>
      <c r="S50" s="60">
        <f>Assumptions!S106</f>
        <v>104.547132</v>
      </c>
      <c r="T50" s="60">
        <f>Assumptions!T106</f>
        <v>111.3426956</v>
      </c>
    </row>
    <row r="51" ht="15.75" customHeight="1">
      <c r="A51" s="48" t="str">
        <f t="shared" si="34"/>
        <v>Synthetic Enamel</v>
      </c>
      <c r="B51" s="100">
        <f>Assumptions!B107</f>
        <v>500</v>
      </c>
      <c r="C51" s="100">
        <f>Assumptions!C107</f>
        <v>545</v>
      </c>
      <c r="D51" s="100">
        <f>Assumptions!D107</f>
        <v>588.6</v>
      </c>
      <c r="E51" s="100">
        <f>Assumptions!E107</f>
        <v>629.802</v>
      </c>
      <c r="F51" s="100">
        <f>Assumptions!F107</f>
        <v>670.73913</v>
      </c>
      <c r="H51" s="48" t="str">
        <f t="shared" si="35"/>
        <v>Synthetic Enamel</v>
      </c>
      <c r="I51" s="48">
        <f>Assumptions!I107</f>
        <v>438</v>
      </c>
      <c r="J51" s="60">
        <f>Assumptions!J107</f>
        <v>477.42</v>
      </c>
      <c r="K51" s="60">
        <f>Assumptions!K107</f>
        <v>515.6136</v>
      </c>
      <c r="L51" s="60">
        <f>Assumptions!L107</f>
        <v>551.706552</v>
      </c>
      <c r="M51" s="60">
        <f>Assumptions!M107</f>
        <v>587.5674779</v>
      </c>
      <c r="O51" s="48" t="str">
        <f t="shared" si="1"/>
        <v>Synthetic Enamel</v>
      </c>
      <c r="P51" s="48">
        <f>Assumptions!P107</f>
        <v>109</v>
      </c>
      <c r="Q51" s="60">
        <f>Assumptions!Q107</f>
        <v>118.81</v>
      </c>
      <c r="R51" s="60">
        <f>Assumptions!R107</f>
        <v>128.3148</v>
      </c>
      <c r="S51" s="60">
        <f>Assumptions!S107</f>
        <v>137.296836</v>
      </c>
      <c r="T51" s="60">
        <f>Assumptions!T107</f>
        <v>146.2211303</v>
      </c>
    </row>
    <row r="52" ht="15.75" customHeight="1">
      <c r="O52" s="48" t="str">
        <f t="shared" si="1"/>
        <v/>
      </c>
    </row>
    <row r="53" ht="15.75" customHeight="1">
      <c r="A53" s="43" t="s">
        <v>163</v>
      </c>
      <c r="B53" s="44">
        <f t="shared" ref="B53:F53" si="36">B45</f>
        <v>2026</v>
      </c>
      <c r="C53" s="44">
        <f t="shared" si="36"/>
        <v>2027</v>
      </c>
      <c r="D53" s="44">
        <f t="shared" si="36"/>
        <v>2028</v>
      </c>
      <c r="E53" s="44">
        <f t="shared" si="36"/>
        <v>2029</v>
      </c>
      <c r="F53" s="44">
        <f t="shared" si="36"/>
        <v>2030</v>
      </c>
      <c r="H53" s="43" t="str">
        <f t="shared" ref="H53:M53" si="37">A53</f>
        <v> Total Packaging and Label Cost PKR Mn</v>
      </c>
      <c r="I53" s="43">
        <f t="shared" si="37"/>
        <v>2026</v>
      </c>
      <c r="J53" s="43">
        <f t="shared" si="37"/>
        <v>2027</v>
      </c>
      <c r="K53" s="43">
        <f t="shared" si="37"/>
        <v>2028</v>
      </c>
      <c r="L53" s="43">
        <f t="shared" si="37"/>
        <v>2029</v>
      </c>
      <c r="M53" s="43">
        <f t="shared" si="37"/>
        <v>2030</v>
      </c>
      <c r="O53" s="43" t="str">
        <f t="shared" si="1"/>
        <v> Total Packaging and Label Cost PKR Mn</v>
      </c>
      <c r="P53" s="43">
        <f t="shared" ref="P53:T53" si="38">I53</f>
        <v>2026</v>
      </c>
      <c r="Q53" s="43">
        <f t="shared" si="38"/>
        <v>2027</v>
      </c>
      <c r="R53" s="43">
        <f t="shared" si="38"/>
        <v>2028</v>
      </c>
      <c r="S53" s="43">
        <f t="shared" si="38"/>
        <v>2029</v>
      </c>
      <c r="T53" s="43">
        <f t="shared" si="38"/>
        <v>2030</v>
      </c>
    </row>
    <row r="54" ht="15.75" customHeight="1">
      <c r="A54" s="48" t="str">
        <f t="shared" ref="A54:A59" si="39">A46</f>
        <v>Royal Matt Emulsion paint</v>
      </c>
      <c r="B54" s="100">
        <f>B46*Sales!C5/1000000</f>
        <v>10</v>
      </c>
      <c r="C54" s="100">
        <f>C46*Sales!D5/1000000</f>
        <v>20.71</v>
      </c>
      <c r="D54" s="100">
        <f>D46*Sales!E5/1000000</f>
        <v>40.26024</v>
      </c>
      <c r="E54" s="100">
        <f>E46*Sales!F5/1000000</f>
        <v>68.92553088</v>
      </c>
      <c r="F54" s="100">
        <f>F46*Sales!G5/1000000</f>
        <v>102.7679665</v>
      </c>
      <c r="H54" s="48" t="str">
        <f t="shared" ref="H54:H60" si="40">A54</f>
        <v>Royal Matt Emulsion paint</v>
      </c>
      <c r="I54" s="100">
        <f>I46*Sales!J5/1000000</f>
        <v>10.5</v>
      </c>
      <c r="J54" s="100">
        <f>J46*Sales!K5/1000000</f>
        <v>21.7455</v>
      </c>
      <c r="K54" s="100">
        <f>K46*Sales!L5/1000000</f>
        <v>42.273252</v>
      </c>
      <c r="L54" s="100">
        <f>L46*Sales!M5/1000000</f>
        <v>72.37180742</v>
      </c>
      <c r="M54" s="100">
        <f>M46*Sales!N5/1000000</f>
        <v>107.9063649</v>
      </c>
      <c r="O54" s="48" t="str">
        <f t="shared" si="1"/>
        <v>Royal Matt Emulsion paint</v>
      </c>
      <c r="P54" s="100">
        <f>P46*Sales!Q5/1000000</f>
        <v>1.32</v>
      </c>
      <c r="Q54" s="100">
        <f>Q46*Sales!R5/1000000</f>
        <v>2.73372</v>
      </c>
      <c r="R54" s="100">
        <f>R46*Sales!S5/1000000</f>
        <v>5.31435168</v>
      </c>
      <c r="S54" s="100">
        <f>S46*Sales!T5/1000000</f>
        <v>9.098170076</v>
      </c>
      <c r="T54" s="100">
        <f>T46*Sales!U5/1000000</f>
        <v>13.56537158</v>
      </c>
    </row>
    <row r="55" ht="15.75" customHeight="1">
      <c r="A55" s="48" t="str">
        <f t="shared" si="39"/>
        <v>Anti-bacterial Interior paint</v>
      </c>
      <c r="B55" s="100">
        <f>B47*Sales!C6/1000000</f>
        <v>7.56</v>
      </c>
      <c r="C55" s="100">
        <f>C47*Sales!D6/1000000</f>
        <v>15.65676</v>
      </c>
      <c r="D55" s="100">
        <f>D47*Sales!E6/1000000</f>
        <v>30.43674144</v>
      </c>
      <c r="E55" s="100">
        <f>E47*Sales!F6/1000000</f>
        <v>52.10770135</v>
      </c>
      <c r="F55" s="100">
        <f>F47*Sales!G6/1000000</f>
        <v>77.69258271</v>
      </c>
      <c r="H55" s="48" t="str">
        <f t="shared" si="40"/>
        <v>Anti-bacterial Interior paint</v>
      </c>
      <c r="I55" s="100">
        <f>I47*Sales!J6/1000000</f>
        <v>8.464</v>
      </c>
      <c r="J55" s="100">
        <f>J47*Sales!K6/1000000</f>
        <v>17.528944</v>
      </c>
      <c r="K55" s="100">
        <f>K47*Sales!L6/1000000</f>
        <v>34.07626714</v>
      </c>
      <c r="L55" s="100">
        <f>L47*Sales!M6/1000000</f>
        <v>58.33856934</v>
      </c>
      <c r="M55" s="100">
        <f>M47*Sales!N6/1000000</f>
        <v>86.98280688</v>
      </c>
      <c r="O55" s="48" t="str">
        <f t="shared" si="1"/>
        <v>Anti-bacterial Interior paint</v>
      </c>
      <c r="P55" s="100">
        <f>P47*Sales!Q6/1000000</f>
        <v>1.196</v>
      </c>
      <c r="Q55" s="100">
        <f>Q47*Sales!R6/1000000</f>
        <v>2.476916</v>
      </c>
      <c r="R55" s="100">
        <f>R47*Sales!S6/1000000</f>
        <v>4.815124704</v>
      </c>
      <c r="S55" s="100">
        <f>S47*Sales!T6/1000000</f>
        <v>8.243493493</v>
      </c>
      <c r="T55" s="100">
        <f>T47*Sales!U6/1000000</f>
        <v>12.2910488</v>
      </c>
    </row>
    <row r="56" ht="15.75" customHeight="1">
      <c r="A56" s="48" t="str">
        <f t="shared" si="39"/>
        <v>Silk emulsion</v>
      </c>
      <c r="B56" s="100">
        <f>B48*Sales!C7/1000000</f>
        <v>10.35</v>
      </c>
      <c r="C56" s="100">
        <f>C48*Sales!D7/1000000</f>
        <v>21.43485</v>
      </c>
      <c r="D56" s="100">
        <f>D48*Sales!E7/1000000</f>
        <v>41.6693484</v>
      </c>
      <c r="E56" s="100">
        <f>E48*Sales!F7/1000000</f>
        <v>71.33792446</v>
      </c>
      <c r="F56" s="100">
        <f>F48*Sales!G7/1000000</f>
        <v>106.3648454</v>
      </c>
      <c r="H56" s="48" t="str">
        <f t="shared" si="40"/>
        <v>Silk emulsion</v>
      </c>
      <c r="I56" s="100">
        <f>I48*Sales!J7/1000000</f>
        <v>10.638</v>
      </c>
      <c r="J56" s="100">
        <f>J48*Sales!K7/1000000</f>
        <v>22.031298</v>
      </c>
      <c r="K56" s="100">
        <f>K48*Sales!L7/1000000</f>
        <v>42.82884331</v>
      </c>
      <c r="L56" s="100">
        <f>L48*Sales!M7/1000000</f>
        <v>73.32297975</v>
      </c>
      <c r="M56" s="100">
        <f>M48*Sales!N7/1000000</f>
        <v>109.3245628</v>
      </c>
      <c r="O56" s="48" t="str">
        <f t="shared" si="1"/>
        <v>Silk emulsion</v>
      </c>
      <c r="P56" s="100">
        <f>P48*Sales!Q7/1000000</f>
        <v>1.666</v>
      </c>
      <c r="Q56" s="100">
        <f>Q48*Sales!R7/1000000</f>
        <v>3.450286</v>
      </c>
      <c r="R56" s="100">
        <f>R48*Sales!S7/1000000</f>
        <v>6.707355984</v>
      </c>
      <c r="S56" s="100">
        <f>S48*Sales!T7/1000000</f>
        <v>11.48299344</v>
      </c>
      <c r="T56" s="100">
        <f>T48*Sales!U7/1000000</f>
        <v>17.12114323</v>
      </c>
    </row>
    <row r="57" ht="15.75" customHeight="1">
      <c r="A57" s="48" t="str">
        <f t="shared" si="39"/>
        <v>Weather resistent exterior paint</v>
      </c>
      <c r="B57" s="100">
        <f>B49*Sales!C8/1000000</f>
        <v>14.4</v>
      </c>
      <c r="C57" s="100">
        <f>C49*Sales!D8/1000000</f>
        <v>29.8224</v>
      </c>
      <c r="D57" s="100">
        <f>D49*Sales!E8/1000000</f>
        <v>57.9747456</v>
      </c>
      <c r="E57" s="100">
        <f>E49*Sales!F8/1000000</f>
        <v>99.25276447</v>
      </c>
      <c r="F57" s="100">
        <f>F49*Sales!G8/1000000</f>
        <v>147.9858718</v>
      </c>
      <c r="H57" s="48" t="str">
        <f t="shared" si="40"/>
        <v>Weather resistent exterior paint</v>
      </c>
      <c r="I57" s="100">
        <f>I49*Sales!J8/1000000</f>
        <v>14.7</v>
      </c>
      <c r="J57" s="100">
        <f>J49*Sales!K8/1000000</f>
        <v>30.4437</v>
      </c>
      <c r="K57" s="100">
        <f>K49*Sales!L8/1000000</f>
        <v>59.1825528</v>
      </c>
      <c r="L57" s="100">
        <f>L49*Sales!M8/1000000</f>
        <v>101.3205304</v>
      </c>
      <c r="M57" s="100">
        <f>M49*Sales!N8/1000000</f>
        <v>151.0689108</v>
      </c>
      <c r="O57" s="48" t="str">
        <f t="shared" si="1"/>
        <v>Weather resistent exterior paint</v>
      </c>
      <c r="P57" s="100">
        <f>P49*Sales!Q8/1000000</f>
        <v>2.625</v>
      </c>
      <c r="Q57" s="100">
        <f>Q49*Sales!R8/1000000</f>
        <v>5.436375</v>
      </c>
      <c r="R57" s="100">
        <f>R49*Sales!S8/1000000</f>
        <v>10.568313</v>
      </c>
      <c r="S57" s="100">
        <f>S49*Sales!T8/1000000</f>
        <v>18.09295186</v>
      </c>
      <c r="T57" s="100">
        <f>T49*Sales!U8/1000000</f>
        <v>26.97659122</v>
      </c>
    </row>
    <row r="58" ht="15.75" customHeight="1">
      <c r="A58" s="48" t="str">
        <f t="shared" si="39"/>
        <v>Super primer</v>
      </c>
      <c r="B58" s="100">
        <f>B50*Sales!C9/1000000</f>
        <v>13.3</v>
      </c>
      <c r="C58" s="100">
        <f>C50*Sales!D9/1000000</f>
        <v>27.5443</v>
      </c>
      <c r="D58" s="100">
        <f>D50*Sales!E9/1000000</f>
        <v>53.5461192</v>
      </c>
      <c r="E58" s="100">
        <f>E50*Sales!F9/1000000</f>
        <v>91.67095607</v>
      </c>
      <c r="F58" s="100">
        <f>F50*Sales!G9/1000000</f>
        <v>136.6813955</v>
      </c>
      <c r="H58" s="48" t="str">
        <f t="shared" si="40"/>
        <v>Super primer</v>
      </c>
      <c r="I58" s="100">
        <f>I50*Sales!J9/1000000</f>
        <v>13.32</v>
      </c>
      <c r="J58" s="100">
        <f>J50*Sales!K9/1000000</f>
        <v>27.58572</v>
      </c>
      <c r="K58" s="100">
        <f>K50*Sales!L9/1000000</f>
        <v>53.62663968</v>
      </c>
      <c r="L58" s="100">
        <f>L50*Sales!M9/1000000</f>
        <v>91.80880713</v>
      </c>
      <c r="M58" s="100">
        <f>M50*Sales!N9/1000000</f>
        <v>136.8869314</v>
      </c>
      <c r="O58" s="48" t="str">
        <f t="shared" si="1"/>
        <v>Super primer</v>
      </c>
      <c r="P58" s="100">
        <f>P50*Sales!Q9/1000000</f>
        <v>2.49</v>
      </c>
      <c r="Q58" s="100">
        <f>Q50*Sales!R9/1000000</f>
        <v>5.15679</v>
      </c>
      <c r="R58" s="100">
        <f>R50*Sales!S9/1000000</f>
        <v>10.02479976</v>
      </c>
      <c r="S58" s="100">
        <f>S50*Sales!T9/1000000</f>
        <v>17.16245719</v>
      </c>
      <c r="T58" s="100">
        <f>T50*Sales!U9/1000000</f>
        <v>25.58922367</v>
      </c>
    </row>
    <row r="59" ht="15.75" customHeight="1">
      <c r="A59" s="48" t="str">
        <f t="shared" si="39"/>
        <v>Synthetic Enamel</v>
      </c>
      <c r="B59" s="100">
        <f>B51*Sales!C10/1000000</f>
        <v>20</v>
      </c>
      <c r="C59" s="100">
        <f>C51*Sales!D10/1000000</f>
        <v>41.42</v>
      </c>
      <c r="D59" s="100">
        <f>D51*Sales!E10/1000000</f>
        <v>80.52048</v>
      </c>
      <c r="E59" s="100">
        <f>E51*Sales!F10/1000000</f>
        <v>137.8510618</v>
      </c>
      <c r="F59" s="100">
        <f>F51*Sales!G10/1000000</f>
        <v>205.5359331</v>
      </c>
      <c r="H59" s="48" t="str">
        <f t="shared" si="40"/>
        <v>Synthetic Enamel</v>
      </c>
      <c r="I59" s="100">
        <f>I51*Sales!J10/1000000</f>
        <v>19.71</v>
      </c>
      <c r="J59" s="100">
        <f>J51*Sales!K10/1000000</f>
        <v>40.81941</v>
      </c>
      <c r="K59" s="100">
        <f>K51*Sales!L10/1000000</f>
        <v>79.35293304</v>
      </c>
      <c r="L59" s="100">
        <f>L51*Sales!M10/1000000</f>
        <v>135.8522214</v>
      </c>
      <c r="M59" s="100">
        <f>M51*Sales!N10/1000000</f>
        <v>202.5556621</v>
      </c>
      <c r="O59" s="48" t="str">
        <f t="shared" si="1"/>
        <v>Synthetic Enamel</v>
      </c>
      <c r="P59" s="100">
        <f>P51*Sales!Q10/1000000</f>
        <v>3.815</v>
      </c>
      <c r="Q59" s="100">
        <f>Q51*Sales!R10/1000000</f>
        <v>7.900865</v>
      </c>
      <c r="R59" s="100">
        <f>R51*Sales!S10/1000000</f>
        <v>15.35928156</v>
      </c>
      <c r="S59" s="100">
        <f>S51*Sales!T10/1000000</f>
        <v>26.29509003</v>
      </c>
      <c r="T59" s="100">
        <f>T51*Sales!U10/1000000</f>
        <v>39.20597924</v>
      </c>
    </row>
    <row r="60" ht="15.75" customHeight="1">
      <c r="A60" s="48" t="s">
        <v>164</v>
      </c>
      <c r="B60" s="102">
        <f t="shared" ref="B60:F60" si="41">SUM(B54:B59)</f>
        <v>75.61</v>
      </c>
      <c r="C60" s="102">
        <f t="shared" si="41"/>
        <v>156.58831</v>
      </c>
      <c r="D60" s="102">
        <f t="shared" si="41"/>
        <v>304.4076746</v>
      </c>
      <c r="E60" s="102">
        <f t="shared" si="41"/>
        <v>521.145939</v>
      </c>
      <c r="F60" s="102">
        <f t="shared" si="41"/>
        <v>777.028595</v>
      </c>
      <c r="H60" s="43" t="str">
        <f t="shared" si="40"/>
        <v>Total Packaging and label cost</v>
      </c>
      <c r="I60" s="123">
        <f t="shared" ref="I60:M60" si="42">SUM(I54:I59)</f>
        <v>77.332</v>
      </c>
      <c r="J60" s="123">
        <f t="shared" si="42"/>
        <v>160.154572</v>
      </c>
      <c r="K60" s="123">
        <f t="shared" si="42"/>
        <v>311.340488</v>
      </c>
      <c r="L60" s="123">
        <f t="shared" si="42"/>
        <v>533.0149154</v>
      </c>
      <c r="M60" s="123">
        <f t="shared" si="42"/>
        <v>794.7252389</v>
      </c>
      <c r="O60" s="43" t="str">
        <f t="shared" si="1"/>
        <v>Total Packaging and label cost</v>
      </c>
      <c r="P60" s="102">
        <f t="shared" ref="P60:T60" si="43">SUM(P54:P59)</f>
        <v>13.112</v>
      </c>
      <c r="Q60" s="102">
        <f t="shared" si="43"/>
        <v>27.154952</v>
      </c>
      <c r="R60" s="102">
        <f t="shared" si="43"/>
        <v>52.78922669</v>
      </c>
      <c r="S60" s="102">
        <f t="shared" si="43"/>
        <v>90.37515609</v>
      </c>
      <c r="T60" s="102">
        <f t="shared" si="43"/>
        <v>134.7493577</v>
      </c>
    </row>
    <row r="61" ht="15.75" customHeight="1">
      <c r="O61" s="48" t="str">
        <f t="shared" si="1"/>
        <v/>
      </c>
    </row>
    <row r="62" ht="15.75" customHeight="1">
      <c r="A62" s="43" t="s">
        <v>165</v>
      </c>
      <c r="B62" s="122">
        <f t="shared" ref="B62:F62" si="44">B60+B43</f>
        <v>974.664</v>
      </c>
      <c r="C62" s="122">
        <f t="shared" si="44"/>
        <v>2016.187706</v>
      </c>
      <c r="D62" s="122">
        <f t="shared" si="44"/>
        <v>3936.8035</v>
      </c>
      <c r="E62" s="122">
        <f t="shared" si="44"/>
        <v>6812.715687</v>
      </c>
      <c r="F62" s="122">
        <f t="shared" si="44"/>
        <v>10304.62002</v>
      </c>
      <c r="H62" s="43" t="str">
        <f>A62</f>
        <v>Total COS PKR Mn</v>
      </c>
      <c r="I62" s="122">
        <f t="shared" ref="I62:M62" si="45">I60+I43</f>
        <v>339.14475</v>
      </c>
      <c r="J62" s="122">
        <f t="shared" si="45"/>
        <v>701.6896204</v>
      </c>
      <c r="K62" s="122">
        <f t="shared" si="45"/>
        <v>1369.106643</v>
      </c>
      <c r="L62" s="122">
        <f t="shared" si="45"/>
        <v>2365.036357</v>
      </c>
      <c r="M62" s="122">
        <f t="shared" si="45"/>
        <v>3548.191329</v>
      </c>
      <c r="O62" s="43" t="str">
        <f t="shared" si="1"/>
        <v>Total COS PKR Mn</v>
      </c>
      <c r="P62" s="122">
        <f t="shared" ref="P62:T62" si="46">P60+P43</f>
        <v>58.0955</v>
      </c>
      <c r="Q62" s="122">
        <f t="shared" si="46"/>
        <v>120.196593</v>
      </c>
      <c r="R62" s="122">
        <f t="shared" si="46"/>
        <v>234.5404184</v>
      </c>
      <c r="S62" s="122">
        <f t="shared" si="46"/>
        <v>405.2290027</v>
      </c>
      <c r="T62" s="122">
        <f t="shared" si="46"/>
        <v>607.629441</v>
      </c>
    </row>
    <row r="63" ht="15.75" customHeight="1"/>
    <row r="64" ht="15.75" customHeight="1">
      <c r="A64" s="104" t="s">
        <v>166</v>
      </c>
      <c r="B64" s="106">
        <f t="shared" ref="B64:F64" si="47">B53</f>
        <v>2026</v>
      </c>
      <c r="C64" s="106">
        <f t="shared" si="47"/>
        <v>2027</v>
      </c>
      <c r="D64" s="106">
        <f t="shared" si="47"/>
        <v>2028</v>
      </c>
      <c r="E64" s="106">
        <f t="shared" si="47"/>
        <v>2029</v>
      </c>
      <c r="F64" s="107">
        <f t="shared" si="47"/>
        <v>2030</v>
      </c>
    </row>
    <row r="65" ht="15.75" customHeight="1">
      <c r="A65" s="108" t="str">
        <f>Sales!A77</f>
        <v>Drummi</v>
      </c>
      <c r="B65" s="110">
        <f t="shared" ref="B65:F65" si="48">B62</f>
        <v>974.664</v>
      </c>
      <c r="C65" s="110">
        <f t="shared" si="48"/>
        <v>2016.187706</v>
      </c>
      <c r="D65" s="110">
        <f t="shared" si="48"/>
        <v>3936.8035</v>
      </c>
      <c r="E65" s="110">
        <f t="shared" si="48"/>
        <v>6812.715687</v>
      </c>
      <c r="F65" s="111">
        <f t="shared" si="48"/>
        <v>10304.62002</v>
      </c>
    </row>
    <row r="66" ht="15.75" customHeight="1">
      <c r="A66" s="108" t="str">
        <f>Sales!A78</f>
        <v>Gallon</v>
      </c>
      <c r="B66" s="110">
        <f t="shared" ref="B66:F66" si="49">I62</f>
        <v>339.14475</v>
      </c>
      <c r="C66" s="110">
        <f t="shared" si="49"/>
        <v>701.6896204</v>
      </c>
      <c r="D66" s="110">
        <f t="shared" si="49"/>
        <v>1369.106643</v>
      </c>
      <c r="E66" s="110">
        <f t="shared" si="49"/>
        <v>2365.036357</v>
      </c>
      <c r="F66" s="111">
        <f t="shared" si="49"/>
        <v>3548.191329</v>
      </c>
    </row>
    <row r="67" ht="15.75" customHeight="1">
      <c r="A67" s="108" t="str">
        <f>Sales!A79</f>
        <v>Litre</v>
      </c>
      <c r="B67" s="110">
        <f t="shared" ref="B67:F67" si="50">P62</f>
        <v>58.0955</v>
      </c>
      <c r="C67" s="110">
        <f t="shared" si="50"/>
        <v>120.196593</v>
      </c>
      <c r="D67" s="110">
        <f t="shared" si="50"/>
        <v>234.5404184</v>
      </c>
      <c r="E67" s="110">
        <f t="shared" si="50"/>
        <v>405.2290027</v>
      </c>
      <c r="F67" s="111">
        <f t="shared" si="50"/>
        <v>607.629441</v>
      </c>
    </row>
    <row r="68" ht="15.75" customHeight="1">
      <c r="A68" s="112" t="str">
        <f>Sales!A80</f>
        <v/>
      </c>
      <c r="B68" s="124">
        <f t="shared" ref="B68:F68" si="51">SUM(B65:B67)</f>
        <v>1371.90425</v>
      </c>
      <c r="C68" s="124">
        <f t="shared" si="51"/>
        <v>2838.073919</v>
      </c>
      <c r="D68" s="124">
        <f t="shared" si="51"/>
        <v>5540.450561</v>
      </c>
      <c r="E68" s="124">
        <f t="shared" si="51"/>
        <v>9582.981046</v>
      </c>
      <c r="F68" s="125">
        <f t="shared" si="51"/>
        <v>14460.44079</v>
      </c>
    </row>
    <row r="69" ht="15.75" customHeight="1"/>
    <row r="70" ht="15.75" customHeight="1">
      <c r="A70" s="74" t="s">
        <v>76</v>
      </c>
      <c r="B70" s="55" t="s">
        <v>167</v>
      </c>
    </row>
    <row r="71" ht="15.75" customHeight="1">
      <c r="A71" s="74"/>
      <c r="B71" s="55"/>
      <c r="C71" s="44">
        <f t="shared" ref="C71:G71" si="52">B64</f>
        <v>2026</v>
      </c>
      <c r="D71" s="44">
        <f t="shared" si="52"/>
        <v>2027</v>
      </c>
      <c r="E71" s="44">
        <f t="shared" si="52"/>
        <v>2028</v>
      </c>
      <c r="F71" s="44">
        <f t="shared" si="52"/>
        <v>2029</v>
      </c>
      <c r="G71" s="44">
        <f t="shared" si="52"/>
        <v>2030</v>
      </c>
    </row>
    <row r="72" ht="15.75" customHeight="1">
      <c r="A72" s="55" t="s">
        <v>78</v>
      </c>
      <c r="B72" s="55"/>
      <c r="C72" s="51">
        <f>'Income Statement'!B$7*Assumptions!C111</f>
        <v>68.5952125</v>
      </c>
      <c r="D72" s="51">
        <f>'Income Statement'!C$7*Assumptions!D111</f>
        <v>113.5229568</v>
      </c>
      <c r="E72" s="51">
        <f>'Income Statement'!D$7*Assumptions!E111</f>
        <v>166.2135168</v>
      </c>
      <c r="F72" s="51">
        <f>'Income Statement'!E$7*Assumptions!F111</f>
        <v>191.6596209</v>
      </c>
      <c r="G72" s="51">
        <f>'Income Statement'!F$7*Assumptions!G111</f>
        <v>289.2088158</v>
      </c>
    </row>
    <row r="73" ht="15.75" customHeight="1">
      <c r="A73" s="55" t="s">
        <v>80</v>
      </c>
      <c r="B73" s="55"/>
      <c r="C73" s="51">
        <f>'Income Statement'!B$7*Assumptions!C112</f>
        <v>192.066595</v>
      </c>
      <c r="D73" s="51">
        <f>'Income Statement'!C$7*Assumptions!D112</f>
        <v>340.5688703</v>
      </c>
      <c r="E73" s="51">
        <f>'Income Statement'!D$7*Assumptions!E112</f>
        <v>554.0450561</v>
      </c>
      <c r="F73" s="51">
        <f>'Income Statement'!E$7*Assumptions!F112</f>
        <v>766.6384837</v>
      </c>
      <c r="G73" s="51">
        <f>'Income Statement'!F$7*Assumptions!G112</f>
        <v>1012.230855</v>
      </c>
    </row>
    <row r="74" ht="15.75" customHeight="1">
      <c r="A74" s="55" t="s">
        <v>81</v>
      </c>
      <c r="B74" s="55"/>
      <c r="C74" s="51">
        <f>'Income Statement'!B$7*Assumptions!C113</f>
        <v>96.0332975</v>
      </c>
      <c r="D74" s="51">
        <f>'Income Statement'!C$7*Assumptions!D113</f>
        <v>170.2844351</v>
      </c>
      <c r="E74" s="51">
        <f>'Income Statement'!D$7*Assumptions!E113</f>
        <v>277.0225281</v>
      </c>
      <c r="F74" s="51">
        <f>'Income Statement'!E$7*Assumptions!F113</f>
        <v>383.3192419</v>
      </c>
      <c r="G74" s="51">
        <f>'Income Statement'!F$7*Assumptions!G113</f>
        <v>578.4176317</v>
      </c>
    </row>
    <row r="75" ht="15.75" customHeight="1">
      <c r="A75" s="79" t="s">
        <v>100</v>
      </c>
      <c r="B75" s="79"/>
      <c r="C75" s="126">
        <f t="shared" ref="C75:G75" si="53">SUM(C72:C74)</f>
        <v>356.695105</v>
      </c>
      <c r="D75" s="126">
        <f t="shared" si="53"/>
        <v>624.3762622</v>
      </c>
      <c r="E75" s="126">
        <f t="shared" si="53"/>
        <v>997.281101</v>
      </c>
      <c r="F75" s="126">
        <f t="shared" si="53"/>
        <v>1341.617346</v>
      </c>
      <c r="G75" s="126">
        <f t="shared" si="53"/>
        <v>1879.857303</v>
      </c>
    </row>
    <row r="76" ht="15.75" customHeight="1">
      <c r="A76" s="55"/>
      <c r="B76" s="55"/>
    </row>
    <row r="77" ht="15.75" customHeight="1">
      <c r="A77" s="74" t="s">
        <v>82</v>
      </c>
      <c r="B77" s="55" t="s">
        <v>167</v>
      </c>
    </row>
    <row r="78" ht="15.75" customHeight="1">
      <c r="A78" s="74"/>
      <c r="B78" s="55"/>
      <c r="C78" s="44">
        <f t="shared" ref="C78:G78" si="54">C71</f>
        <v>2026</v>
      </c>
      <c r="D78" s="44">
        <f t="shared" si="54"/>
        <v>2027</v>
      </c>
      <c r="E78" s="44">
        <f t="shared" si="54"/>
        <v>2028</v>
      </c>
      <c r="F78" s="44">
        <f t="shared" si="54"/>
        <v>2029</v>
      </c>
      <c r="G78" s="44">
        <f t="shared" si="54"/>
        <v>2030</v>
      </c>
    </row>
    <row r="79" ht="15.75" customHeight="1">
      <c r="A79" s="55" t="s">
        <v>83</v>
      </c>
      <c r="B79" s="55"/>
      <c r="C79" s="100">
        <f>'Income Statement'!B$6*Assumptions!C117</f>
        <v>88.16204237</v>
      </c>
      <c r="D79" s="100">
        <f>'Income Statement'!C$6*Assumptions!D117</f>
        <v>183.1243169</v>
      </c>
      <c r="E79" s="100">
        <f>'Income Statement'!D$6*Assumptions!E117</f>
        <v>356.7175971</v>
      </c>
      <c r="F79" s="100">
        <f>'Income Statement'!E$6*Assumptions!F117</f>
        <v>613.4786134</v>
      </c>
      <c r="G79" s="100">
        <f>'Income Statement'!F$6*Assumptions!G117</f>
        <v>915.1075596</v>
      </c>
    </row>
    <row r="80" ht="15.75" customHeight="1">
      <c r="A80" s="55" t="s">
        <v>85</v>
      </c>
      <c r="B80" s="55"/>
      <c r="C80" s="100">
        <f>'Income Statement'!B$6*Assumptions!C118</f>
        <v>176.3240847</v>
      </c>
      <c r="D80" s="100">
        <f>'Income Statement'!C$6*Assumptions!D118</f>
        <v>366.2486339</v>
      </c>
      <c r="E80" s="100">
        <f>'Income Statement'!D$6*Assumptions!E118</f>
        <v>713.4351942</v>
      </c>
      <c r="F80" s="100">
        <f>'Income Statement'!E$6*Assumptions!F118</f>
        <v>1226.957227</v>
      </c>
      <c r="G80" s="100">
        <f>'Income Statement'!F$6*Assumptions!G118</f>
        <v>1525.179266</v>
      </c>
    </row>
    <row r="81" ht="15.75" customHeight="1">
      <c r="A81" s="55" t="s">
        <v>86</v>
      </c>
      <c r="B81" s="55"/>
      <c r="C81" s="100">
        <f>'Income Statement'!B$6*Assumptions!C119</f>
        <v>58.77469492</v>
      </c>
      <c r="D81" s="100">
        <f>'Income Statement'!C$6*Assumptions!D119</f>
        <v>122.082878</v>
      </c>
      <c r="E81" s="100">
        <f>'Income Statement'!D$6*Assumptions!E119</f>
        <v>237.8117314</v>
      </c>
      <c r="F81" s="100">
        <f>'Income Statement'!E$6*Assumptions!F119</f>
        <v>408.9857423</v>
      </c>
      <c r="G81" s="100">
        <f>'Income Statement'!F$6*Assumptions!G119</f>
        <v>610.0717064</v>
      </c>
    </row>
    <row r="82" ht="15.75" customHeight="1">
      <c r="A82" s="79" t="s">
        <v>100</v>
      </c>
      <c r="B82" s="79"/>
      <c r="C82" s="126">
        <f t="shared" ref="C82:G82" si="55">SUM(C79:C81)</f>
        <v>323.260822</v>
      </c>
      <c r="D82" s="126">
        <f t="shared" si="55"/>
        <v>671.4558288</v>
      </c>
      <c r="E82" s="126">
        <f t="shared" si="55"/>
        <v>1307.964523</v>
      </c>
      <c r="F82" s="126">
        <f t="shared" si="55"/>
        <v>2249.421583</v>
      </c>
      <c r="G82" s="126">
        <f t="shared" si="55"/>
        <v>3050.358532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25"/>
    <col customWidth="1" min="2" max="6" width="12.63"/>
  </cols>
  <sheetData>
    <row r="1" ht="15.75" customHeight="1">
      <c r="A1" s="7" t="s">
        <v>168</v>
      </c>
      <c r="B1" s="4" t="s">
        <v>167</v>
      </c>
    </row>
    <row r="2" ht="15.75" customHeight="1"/>
    <row r="3" ht="15.75" customHeight="1">
      <c r="A3" s="6">
        <v>2026.0</v>
      </c>
      <c r="B3" s="4"/>
      <c r="C3" s="4"/>
      <c r="D3" s="4"/>
      <c r="E3" s="4"/>
      <c r="F3" s="4"/>
    </row>
    <row r="4" ht="15.75" customHeight="1">
      <c r="A4" s="127"/>
      <c r="B4" s="127" t="s">
        <v>169</v>
      </c>
      <c r="C4" s="127" t="s">
        <v>170</v>
      </c>
      <c r="D4" s="127" t="s">
        <v>171</v>
      </c>
      <c r="E4" s="127" t="s">
        <v>172</v>
      </c>
      <c r="F4" s="127" t="s">
        <v>173</v>
      </c>
    </row>
    <row r="5" ht="15.75" customHeight="1">
      <c r="A5" s="55" t="s">
        <v>95</v>
      </c>
      <c r="B5" s="128">
        <v>0.0</v>
      </c>
      <c r="C5" s="129">
        <f>Assumptions!C131</f>
        <v>22</v>
      </c>
      <c r="D5" s="129">
        <f t="shared" ref="D5:D9" si="1">+B5+C5</f>
        <v>22</v>
      </c>
      <c r="E5" s="128">
        <v>0.0</v>
      </c>
      <c r="F5" s="129">
        <f t="shared" ref="F5:F9" si="2">D5-E5</f>
        <v>22</v>
      </c>
    </row>
    <row r="6" ht="15.75" customHeight="1">
      <c r="A6" s="55" t="s">
        <v>96</v>
      </c>
      <c r="B6" s="128">
        <v>0.0</v>
      </c>
      <c r="C6" s="129">
        <f>Assumptions!C132</f>
        <v>28</v>
      </c>
      <c r="D6" s="129">
        <f t="shared" si="1"/>
        <v>28</v>
      </c>
      <c r="E6" s="129">
        <v>0.0</v>
      </c>
      <c r="F6" s="129">
        <f t="shared" si="2"/>
        <v>28</v>
      </c>
    </row>
    <row r="7" ht="15.75" customHeight="1">
      <c r="A7" s="55" t="s">
        <v>97</v>
      </c>
      <c r="B7" s="128">
        <v>0.0</v>
      </c>
      <c r="C7" s="129">
        <f>Assumptions!C133</f>
        <v>60</v>
      </c>
      <c r="D7" s="129">
        <f t="shared" si="1"/>
        <v>60</v>
      </c>
      <c r="E7" s="129">
        <f>D7*Assumptions!$C$139</f>
        <v>12</v>
      </c>
      <c r="F7" s="129">
        <f t="shared" si="2"/>
        <v>48</v>
      </c>
    </row>
    <row r="8" ht="15.75" customHeight="1">
      <c r="A8" s="55" t="s">
        <v>98</v>
      </c>
      <c r="B8" s="128">
        <v>0.0</v>
      </c>
      <c r="C8" s="129">
        <f>Assumptions!C134</f>
        <v>10</v>
      </c>
      <c r="D8" s="129">
        <f t="shared" si="1"/>
        <v>10</v>
      </c>
      <c r="E8" s="129">
        <f>D8*Assumptions!$C$139</f>
        <v>2</v>
      </c>
      <c r="F8" s="129">
        <f t="shared" si="2"/>
        <v>8</v>
      </c>
    </row>
    <row r="9" ht="15.75" customHeight="1">
      <c r="A9" s="55" t="s">
        <v>99</v>
      </c>
      <c r="B9" s="128">
        <v>0.0</v>
      </c>
      <c r="C9" s="129">
        <f>Assumptions!C135</f>
        <v>18</v>
      </c>
      <c r="D9" s="129">
        <f t="shared" si="1"/>
        <v>18</v>
      </c>
      <c r="E9" s="129">
        <f>D9*Assumptions!$C$139</f>
        <v>3.6</v>
      </c>
      <c r="F9" s="129">
        <f t="shared" si="2"/>
        <v>14.4</v>
      </c>
    </row>
    <row r="10" ht="15.75" customHeight="1">
      <c r="A10" s="130" t="s">
        <v>100</v>
      </c>
      <c r="B10" s="131">
        <f t="shared" ref="B10:F10" si="3">SUM(B5:B9)</f>
        <v>0</v>
      </c>
      <c r="C10" s="131">
        <f t="shared" si="3"/>
        <v>138</v>
      </c>
      <c r="D10" s="131">
        <f t="shared" si="3"/>
        <v>138</v>
      </c>
      <c r="E10" s="131">
        <f t="shared" si="3"/>
        <v>17.6</v>
      </c>
      <c r="F10" s="131">
        <f t="shared" si="3"/>
        <v>120.4</v>
      </c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6">
        <f>+A3+1</f>
        <v>2027</v>
      </c>
      <c r="B12" s="4"/>
      <c r="C12" s="4"/>
      <c r="D12" s="4"/>
      <c r="E12" s="4"/>
      <c r="F12" s="4"/>
    </row>
    <row r="13" ht="15.75" customHeight="1">
      <c r="A13" s="127"/>
      <c r="B13" s="127" t="s">
        <v>169</v>
      </c>
      <c r="C13" s="127" t="s">
        <v>170</v>
      </c>
      <c r="D13" s="127" t="s">
        <v>171</v>
      </c>
      <c r="E13" s="127" t="s">
        <v>172</v>
      </c>
      <c r="F13" s="127" t="s">
        <v>173</v>
      </c>
    </row>
    <row r="14" ht="15.75" customHeight="1">
      <c r="A14" s="127" t="str">
        <f t="shared" ref="A14:A18" si="4">A5</f>
        <v>Land</v>
      </c>
      <c r="B14" s="129">
        <f t="shared" ref="B14:B18" si="5">F5</f>
        <v>22</v>
      </c>
      <c r="C14" s="129">
        <f>Assumptions!D131</f>
        <v>0</v>
      </c>
      <c r="D14" s="129">
        <f t="shared" ref="D14:D18" si="6">+B14+C14</f>
        <v>22</v>
      </c>
      <c r="E14" s="129">
        <f>+E5</f>
        <v>0</v>
      </c>
      <c r="F14" s="129">
        <f t="shared" ref="F14:F18" si="7">D14-E14</f>
        <v>22</v>
      </c>
    </row>
    <row r="15" ht="15.75" customHeight="1">
      <c r="A15" s="127" t="str">
        <f t="shared" si="4"/>
        <v>Building</v>
      </c>
      <c r="B15" s="129">
        <f t="shared" si="5"/>
        <v>28</v>
      </c>
      <c r="C15" s="129">
        <f>Assumptions!D132</f>
        <v>0</v>
      </c>
      <c r="D15" s="129">
        <f t="shared" si="6"/>
        <v>28</v>
      </c>
      <c r="E15" s="129">
        <f>E6</f>
        <v>0</v>
      </c>
      <c r="F15" s="129">
        <f t="shared" si="7"/>
        <v>28</v>
      </c>
    </row>
    <row r="16" ht="15.75" customHeight="1">
      <c r="A16" s="127" t="str">
        <f t="shared" si="4"/>
        <v>Machinery</v>
      </c>
      <c r="B16" s="129">
        <f t="shared" si="5"/>
        <v>48</v>
      </c>
      <c r="C16" s="129">
        <f>Assumptions!D133</f>
        <v>10</v>
      </c>
      <c r="D16" s="129">
        <f t="shared" si="6"/>
        <v>58</v>
      </c>
      <c r="E16" s="129">
        <f>D16*Assumptions!$C$139</f>
        <v>11.6</v>
      </c>
      <c r="F16" s="129">
        <f t="shared" si="7"/>
        <v>46.4</v>
      </c>
    </row>
    <row r="17" ht="15.75" customHeight="1">
      <c r="A17" s="127" t="str">
        <f t="shared" si="4"/>
        <v>Vehicles</v>
      </c>
      <c r="B17" s="129">
        <f t="shared" si="5"/>
        <v>8</v>
      </c>
      <c r="C17" s="129">
        <f>Assumptions!D134</f>
        <v>2</v>
      </c>
      <c r="D17" s="129">
        <f t="shared" si="6"/>
        <v>10</v>
      </c>
      <c r="E17" s="129">
        <f>D17*Assumptions!$C$139</f>
        <v>2</v>
      </c>
      <c r="F17" s="129">
        <f t="shared" si="7"/>
        <v>8</v>
      </c>
    </row>
    <row r="18" ht="15.75" customHeight="1">
      <c r="A18" s="127" t="str">
        <f t="shared" si="4"/>
        <v>Retail outlets/Others</v>
      </c>
      <c r="B18" s="129">
        <f t="shared" si="5"/>
        <v>14.4</v>
      </c>
      <c r="C18" s="129">
        <f>Assumptions!D135</f>
        <v>5</v>
      </c>
      <c r="D18" s="129">
        <f t="shared" si="6"/>
        <v>19.4</v>
      </c>
      <c r="E18" s="129">
        <f>D18*Assumptions!$C$139</f>
        <v>3.88</v>
      </c>
      <c r="F18" s="129">
        <f t="shared" si="7"/>
        <v>15.52</v>
      </c>
    </row>
    <row r="19" ht="15.75" customHeight="1">
      <c r="A19" s="130" t="s">
        <v>100</v>
      </c>
      <c r="B19" s="131">
        <f t="shared" ref="B19:F19" si="8">SUM(B14:B18)</f>
        <v>120.4</v>
      </c>
      <c r="C19" s="131">
        <f t="shared" si="8"/>
        <v>17</v>
      </c>
      <c r="D19" s="131">
        <f t="shared" si="8"/>
        <v>137.4</v>
      </c>
      <c r="E19" s="131">
        <f t="shared" si="8"/>
        <v>17.48</v>
      </c>
      <c r="F19" s="131">
        <f t="shared" si="8"/>
        <v>119.92</v>
      </c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6">
        <f>+A12+1</f>
        <v>2028</v>
      </c>
      <c r="B21" s="4"/>
      <c r="C21" s="4"/>
      <c r="D21" s="4"/>
      <c r="E21" s="4"/>
      <c r="F21" s="4"/>
    </row>
    <row r="22" ht="15.75" customHeight="1">
      <c r="A22" s="127"/>
      <c r="B22" s="127" t="s">
        <v>169</v>
      </c>
      <c r="C22" s="127" t="s">
        <v>170</v>
      </c>
      <c r="D22" s="127" t="s">
        <v>171</v>
      </c>
      <c r="E22" s="127" t="s">
        <v>172</v>
      </c>
      <c r="F22" s="127" t="s">
        <v>173</v>
      </c>
    </row>
    <row r="23" ht="15.75" customHeight="1">
      <c r="A23" s="127" t="str">
        <f t="shared" ref="A23:A27" si="9">A14</f>
        <v>Land</v>
      </c>
      <c r="B23" s="129">
        <f t="shared" ref="B23:B27" si="10">F14</f>
        <v>22</v>
      </c>
      <c r="C23" s="129">
        <f>Assumptions!E131</f>
        <v>0</v>
      </c>
      <c r="D23" s="129">
        <f t="shared" ref="D23:D27" si="11">+B23+C23</f>
        <v>22</v>
      </c>
      <c r="E23" s="129">
        <f>+E14</f>
        <v>0</v>
      </c>
      <c r="F23" s="129">
        <f t="shared" ref="F23:F27" si="12">D23-E23</f>
        <v>22</v>
      </c>
    </row>
    <row r="24" ht="15.75" customHeight="1">
      <c r="A24" s="127" t="str">
        <f t="shared" si="9"/>
        <v>Building</v>
      </c>
      <c r="B24" s="129">
        <f t="shared" si="10"/>
        <v>28</v>
      </c>
      <c r="C24" s="129">
        <f>Assumptions!E132</f>
        <v>0</v>
      </c>
      <c r="D24" s="129">
        <f t="shared" si="11"/>
        <v>28</v>
      </c>
      <c r="E24" s="129">
        <f>E6</f>
        <v>0</v>
      </c>
      <c r="F24" s="129">
        <f t="shared" si="12"/>
        <v>28</v>
      </c>
    </row>
    <row r="25" ht="15.75" customHeight="1">
      <c r="A25" s="127" t="str">
        <f t="shared" si="9"/>
        <v>Machinery</v>
      </c>
      <c r="B25" s="129">
        <f t="shared" si="10"/>
        <v>46.4</v>
      </c>
      <c r="C25" s="129">
        <f>Assumptions!E133</f>
        <v>6</v>
      </c>
      <c r="D25" s="129">
        <f t="shared" si="11"/>
        <v>52.4</v>
      </c>
      <c r="E25" s="129">
        <f>D25*Assumptions!$C$139</f>
        <v>10.48</v>
      </c>
      <c r="F25" s="129">
        <f t="shared" si="12"/>
        <v>41.92</v>
      </c>
    </row>
    <row r="26" ht="15.75" customHeight="1">
      <c r="A26" s="127" t="str">
        <f t="shared" si="9"/>
        <v>Vehicles</v>
      </c>
      <c r="B26" s="129">
        <f t="shared" si="10"/>
        <v>8</v>
      </c>
      <c r="C26" s="129">
        <f>Assumptions!E134</f>
        <v>1</v>
      </c>
      <c r="D26" s="129">
        <f t="shared" si="11"/>
        <v>9</v>
      </c>
      <c r="E26" s="129">
        <f>D26*Assumptions!$C$139</f>
        <v>1.8</v>
      </c>
      <c r="F26" s="129">
        <f t="shared" si="12"/>
        <v>7.2</v>
      </c>
    </row>
    <row r="27" ht="15.75" customHeight="1">
      <c r="A27" s="127" t="str">
        <f t="shared" si="9"/>
        <v>Retail outlets/Others</v>
      </c>
      <c r="B27" s="129">
        <f t="shared" si="10"/>
        <v>15.52</v>
      </c>
      <c r="C27" s="129">
        <f>Assumptions!E135</f>
        <v>4</v>
      </c>
      <c r="D27" s="129">
        <f t="shared" si="11"/>
        <v>19.52</v>
      </c>
      <c r="E27" s="129">
        <f>D27*Assumptions!$C$139</f>
        <v>3.904</v>
      </c>
      <c r="F27" s="129">
        <f t="shared" si="12"/>
        <v>15.616</v>
      </c>
    </row>
    <row r="28" ht="15.75" customHeight="1">
      <c r="A28" s="130" t="s">
        <v>100</v>
      </c>
      <c r="B28" s="131">
        <f t="shared" ref="B28:F28" si="13">SUM(B23:B27)</f>
        <v>119.92</v>
      </c>
      <c r="C28" s="131">
        <f t="shared" si="13"/>
        <v>11</v>
      </c>
      <c r="D28" s="131">
        <f t="shared" si="13"/>
        <v>130.92</v>
      </c>
      <c r="E28" s="131">
        <f t="shared" si="13"/>
        <v>16.184</v>
      </c>
      <c r="F28" s="131">
        <f t="shared" si="13"/>
        <v>114.736</v>
      </c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6">
        <f>+A21+1</f>
        <v>2029</v>
      </c>
      <c r="B30" s="4"/>
      <c r="C30" s="4"/>
      <c r="D30" s="4"/>
      <c r="E30" s="4"/>
      <c r="F30" s="4"/>
    </row>
    <row r="31" ht="15.75" customHeight="1">
      <c r="A31" s="127"/>
      <c r="B31" s="127" t="s">
        <v>169</v>
      </c>
      <c r="C31" s="127" t="s">
        <v>170</v>
      </c>
      <c r="D31" s="127" t="s">
        <v>171</v>
      </c>
      <c r="E31" s="127" t="s">
        <v>172</v>
      </c>
      <c r="F31" s="127" t="s">
        <v>173</v>
      </c>
    </row>
    <row r="32" ht="15.75" customHeight="1">
      <c r="A32" s="127" t="str">
        <f t="shared" ref="A32:A36" si="14">A23</f>
        <v>Land</v>
      </c>
      <c r="B32" s="129">
        <f t="shared" ref="B32:B36" si="15">F23</f>
        <v>22</v>
      </c>
      <c r="C32" s="129">
        <f>Assumptions!F131</f>
        <v>0</v>
      </c>
      <c r="D32" s="129">
        <f t="shared" ref="D32:D36" si="16">+B32+C32</f>
        <v>22</v>
      </c>
      <c r="E32" s="129">
        <f>+E23</f>
        <v>0</v>
      </c>
      <c r="F32" s="129">
        <f t="shared" ref="F32:F36" si="17">D32-E32</f>
        <v>22</v>
      </c>
    </row>
    <row r="33" ht="15.75" customHeight="1">
      <c r="A33" s="127" t="str">
        <f t="shared" si="14"/>
        <v>Building</v>
      </c>
      <c r="B33" s="129">
        <f t="shared" si="15"/>
        <v>28</v>
      </c>
      <c r="C33" s="129">
        <f>Assumptions!F132</f>
        <v>0</v>
      </c>
      <c r="D33" s="129">
        <f t="shared" si="16"/>
        <v>28</v>
      </c>
      <c r="E33" s="129">
        <f>E6</f>
        <v>0</v>
      </c>
      <c r="F33" s="129">
        <f t="shared" si="17"/>
        <v>28</v>
      </c>
    </row>
    <row r="34" ht="15.75" customHeight="1">
      <c r="A34" s="127" t="str">
        <f t="shared" si="14"/>
        <v>Machinery</v>
      </c>
      <c r="B34" s="129">
        <f t="shared" si="15"/>
        <v>41.92</v>
      </c>
      <c r="C34" s="129">
        <f>Assumptions!F133</f>
        <v>6</v>
      </c>
      <c r="D34" s="129">
        <f t="shared" si="16"/>
        <v>47.92</v>
      </c>
      <c r="E34" s="129">
        <f>D34*Assumptions!$C$139</f>
        <v>9.584</v>
      </c>
      <c r="F34" s="129">
        <f t="shared" si="17"/>
        <v>38.336</v>
      </c>
    </row>
    <row r="35" ht="15.75" customHeight="1">
      <c r="A35" s="127" t="str">
        <f t="shared" si="14"/>
        <v>Vehicles</v>
      </c>
      <c r="B35" s="129">
        <f t="shared" si="15"/>
        <v>7.2</v>
      </c>
      <c r="C35" s="129">
        <f>Assumptions!F134</f>
        <v>1</v>
      </c>
      <c r="D35" s="129">
        <f t="shared" si="16"/>
        <v>8.2</v>
      </c>
      <c r="E35" s="129">
        <f>D35*Assumptions!$C$139</f>
        <v>1.64</v>
      </c>
      <c r="F35" s="129">
        <f t="shared" si="17"/>
        <v>6.56</v>
      </c>
    </row>
    <row r="36" ht="15.75" customHeight="1">
      <c r="A36" s="127" t="str">
        <f t="shared" si="14"/>
        <v>Retail outlets/Others</v>
      </c>
      <c r="B36" s="129">
        <f t="shared" si="15"/>
        <v>15.616</v>
      </c>
      <c r="C36" s="129">
        <f>Assumptions!F135</f>
        <v>4</v>
      </c>
      <c r="D36" s="129">
        <f t="shared" si="16"/>
        <v>19.616</v>
      </c>
      <c r="E36" s="129">
        <f>D36*Assumptions!$C$139</f>
        <v>3.9232</v>
      </c>
      <c r="F36" s="129">
        <f t="shared" si="17"/>
        <v>15.6928</v>
      </c>
    </row>
    <row r="37" ht="15.75" customHeight="1">
      <c r="A37" s="130" t="s">
        <v>100</v>
      </c>
      <c r="B37" s="131">
        <f t="shared" ref="B37:F37" si="18">SUM(B32:B36)</f>
        <v>114.736</v>
      </c>
      <c r="C37" s="131">
        <f t="shared" si="18"/>
        <v>11</v>
      </c>
      <c r="D37" s="131">
        <f t="shared" si="18"/>
        <v>125.736</v>
      </c>
      <c r="E37" s="131">
        <f t="shared" si="18"/>
        <v>15.1472</v>
      </c>
      <c r="F37" s="131">
        <f t="shared" si="18"/>
        <v>110.5888</v>
      </c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6">
        <f>+A30+1</f>
        <v>2030</v>
      </c>
      <c r="B39" s="4"/>
      <c r="C39" s="4"/>
      <c r="D39" s="4"/>
      <c r="E39" s="4"/>
      <c r="F39" s="4"/>
    </row>
    <row r="40" ht="15.75" customHeight="1">
      <c r="A40" s="127"/>
      <c r="B40" s="127" t="s">
        <v>169</v>
      </c>
      <c r="C40" s="127" t="s">
        <v>170</v>
      </c>
      <c r="D40" s="127" t="s">
        <v>171</v>
      </c>
      <c r="E40" s="127" t="s">
        <v>172</v>
      </c>
      <c r="F40" s="127" t="s">
        <v>173</v>
      </c>
    </row>
    <row r="41" ht="15.75" customHeight="1">
      <c r="A41" s="127" t="str">
        <f t="shared" ref="A41:A45" si="19">A32</f>
        <v>Land</v>
      </c>
      <c r="B41" s="129">
        <f t="shared" ref="B41:B45" si="20">F32</f>
        <v>22</v>
      </c>
      <c r="C41" s="129">
        <f>Assumptions!G131</f>
        <v>0</v>
      </c>
      <c r="D41" s="129">
        <f t="shared" ref="D41:D45" si="21">+B41+C41</f>
        <v>22</v>
      </c>
      <c r="E41" s="129">
        <f>+E32</f>
        <v>0</v>
      </c>
      <c r="F41" s="129">
        <f t="shared" ref="F41:F45" si="22">D41-E41</f>
        <v>22</v>
      </c>
    </row>
    <row r="42" ht="15.75" customHeight="1">
      <c r="A42" s="127" t="str">
        <f t="shared" si="19"/>
        <v>Building</v>
      </c>
      <c r="B42" s="129">
        <f t="shared" si="20"/>
        <v>28</v>
      </c>
      <c r="C42" s="129">
        <f>Assumptions!G132</f>
        <v>0</v>
      </c>
      <c r="D42" s="129">
        <f t="shared" si="21"/>
        <v>28</v>
      </c>
      <c r="E42" s="129">
        <f>E6</f>
        <v>0</v>
      </c>
      <c r="F42" s="129">
        <f t="shared" si="22"/>
        <v>28</v>
      </c>
    </row>
    <row r="43" ht="15.75" customHeight="1">
      <c r="A43" s="127" t="str">
        <f t="shared" si="19"/>
        <v>Machinery</v>
      </c>
      <c r="B43" s="129">
        <f t="shared" si="20"/>
        <v>38.336</v>
      </c>
      <c r="C43" s="129">
        <f>Assumptions!G133</f>
        <v>5</v>
      </c>
      <c r="D43" s="129">
        <f t="shared" si="21"/>
        <v>43.336</v>
      </c>
      <c r="E43" s="129">
        <f>D43*Assumptions!$C$139</f>
        <v>8.6672</v>
      </c>
      <c r="F43" s="129">
        <f t="shared" si="22"/>
        <v>34.6688</v>
      </c>
    </row>
    <row r="44" ht="15.75" customHeight="1">
      <c r="A44" s="127" t="str">
        <f t="shared" si="19"/>
        <v>Vehicles</v>
      </c>
      <c r="B44" s="129">
        <f t="shared" si="20"/>
        <v>6.56</v>
      </c>
      <c r="C44" s="129">
        <f>Assumptions!G134</f>
        <v>1</v>
      </c>
      <c r="D44" s="129">
        <f t="shared" si="21"/>
        <v>7.56</v>
      </c>
      <c r="E44" s="129">
        <f>D44*Assumptions!$C$139</f>
        <v>1.512</v>
      </c>
      <c r="F44" s="129">
        <f t="shared" si="22"/>
        <v>6.048</v>
      </c>
    </row>
    <row r="45" ht="15.75" customHeight="1">
      <c r="A45" s="127" t="str">
        <f t="shared" si="19"/>
        <v>Retail outlets/Others</v>
      </c>
      <c r="B45" s="129">
        <f t="shared" si="20"/>
        <v>15.6928</v>
      </c>
      <c r="C45" s="129">
        <f>Assumptions!G135</f>
        <v>5</v>
      </c>
      <c r="D45" s="129">
        <f t="shared" si="21"/>
        <v>20.6928</v>
      </c>
      <c r="E45" s="129">
        <f>D45*Assumptions!$C$139</f>
        <v>4.13856</v>
      </c>
      <c r="F45" s="129">
        <f t="shared" si="22"/>
        <v>16.55424</v>
      </c>
    </row>
    <row r="46" ht="15.75" customHeight="1">
      <c r="A46" s="130" t="s">
        <v>100</v>
      </c>
      <c r="B46" s="131">
        <f t="shared" ref="B46:F46" si="23">SUM(B41:B45)</f>
        <v>110.5888</v>
      </c>
      <c r="C46" s="131">
        <f t="shared" si="23"/>
        <v>11</v>
      </c>
      <c r="D46" s="131">
        <f t="shared" si="23"/>
        <v>121.5888</v>
      </c>
      <c r="E46" s="131">
        <f t="shared" si="23"/>
        <v>14.31776</v>
      </c>
      <c r="F46" s="131">
        <f t="shared" si="23"/>
        <v>107.27104</v>
      </c>
    </row>
    <row r="47" ht="15.75" customHeight="1">
      <c r="A47" s="4"/>
      <c r="B47" s="4"/>
      <c r="C47" s="4"/>
      <c r="D47" s="4"/>
      <c r="E47" s="4"/>
      <c r="F47" s="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7" t="s">
        <v>87</v>
      </c>
      <c r="B1" s="4"/>
      <c r="C1" s="4"/>
      <c r="D1" s="4"/>
      <c r="E1" s="4"/>
      <c r="F1" s="4"/>
      <c r="G1" s="4"/>
      <c r="H1" s="4"/>
    </row>
    <row r="2">
      <c r="A2" s="4"/>
      <c r="B2" s="4"/>
      <c r="C2" s="4"/>
      <c r="D2" s="4"/>
      <c r="E2" s="4"/>
      <c r="F2" s="4"/>
      <c r="G2" s="4"/>
      <c r="H2" s="4"/>
    </row>
    <row r="3">
      <c r="A3" s="4"/>
      <c r="B3" s="4"/>
      <c r="C3" s="4"/>
      <c r="D3" s="6">
        <f>Assumptions!D2</f>
        <v>2026</v>
      </c>
      <c r="E3" s="6">
        <f>Assumptions!E2</f>
        <v>2027</v>
      </c>
      <c r="F3" s="6">
        <f>Assumptions!F2</f>
        <v>2028</v>
      </c>
      <c r="G3" s="6">
        <f>Assumptions!G2</f>
        <v>2029</v>
      </c>
      <c r="H3" s="6">
        <f>Assumptions!H2</f>
        <v>2030</v>
      </c>
    </row>
    <row r="4">
      <c r="A4" s="4"/>
      <c r="B4" s="4"/>
      <c r="C4" s="4"/>
      <c r="D4" s="4"/>
      <c r="E4" s="4"/>
      <c r="F4" s="4"/>
      <c r="G4" s="4"/>
      <c r="H4" s="4"/>
    </row>
    <row r="5">
      <c r="A5" s="4" t="s">
        <v>174</v>
      </c>
      <c r="B5" s="82" t="s">
        <v>175</v>
      </c>
      <c r="C5" s="4"/>
      <c r="D5" s="132">
        <f>365/Assumptions!C123</f>
        <v>8.111111111</v>
      </c>
      <c r="E5" s="132">
        <f>365/Assumptions!D123</f>
        <v>8.111111111</v>
      </c>
      <c r="F5" s="132">
        <f>365/Assumptions!E123</f>
        <v>9.125</v>
      </c>
      <c r="G5" s="132">
        <f>365/Assumptions!F123</f>
        <v>9.125</v>
      </c>
      <c r="H5" s="132">
        <f>365/Assumptions!G123</f>
        <v>9.125</v>
      </c>
    </row>
    <row r="6">
      <c r="A6" s="4" t="s">
        <v>176</v>
      </c>
      <c r="B6" s="82" t="s">
        <v>175</v>
      </c>
      <c r="C6" s="4"/>
      <c r="D6" s="132">
        <f>365/Assumptions!C124</f>
        <v>4.5625</v>
      </c>
      <c r="E6" s="132">
        <f>365/Assumptions!D124</f>
        <v>4.866666667</v>
      </c>
      <c r="F6" s="132">
        <f>365/Assumptions!E124</f>
        <v>5.214285714</v>
      </c>
      <c r="G6" s="132">
        <f>365/Assumptions!F124</f>
        <v>5.615384615</v>
      </c>
      <c r="H6" s="132">
        <f>365/Assumptions!G124</f>
        <v>5.615384615</v>
      </c>
    </row>
    <row r="7">
      <c r="A7" s="4" t="s">
        <v>177</v>
      </c>
      <c r="B7" s="82" t="s">
        <v>175</v>
      </c>
      <c r="C7" s="4"/>
      <c r="D7" s="132">
        <f>365/Assumptions!C125</f>
        <v>6.636363636</v>
      </c>
      <c r="E7" s="132">
        <f>365/Assumptions!D125</f>
        <v>7.3</v>
      </c>
      <c r="F7" s="132">
        <f>365/Assumptions!E125</f>
        <v>8.111111111</v>
      </c>
      <c r="G7" s="132">
        <f>365/Assumptions!F125</f>
        <v>9.125</v>
      </c>
      <c r="H7" s="132">
        <f>365/Assumptions!G125</f>
        <v>9.125</v>
      </c>
    </row>
    <row r="8">
      <c r="A8" s="4"/>
      <c r="B8" s="4"/>
      <c r="C8" s="4"/>
      <c r="D8" s="4"/>
      <c r="E8" s="4"/>
      <c r="F8" s="4"/>
      <c r="G8" s="4"/>
      <c r="H8" s="4"/>
    </row>
    <row r="9">
      <c r="A9" s="4" t="s">
        <v>178</v>
      </c>
      <c r="B9" s="82" t="s">
        <v>93</v>
      </c>
      <c r="C9" s="4"/>
      <c r="D9" s="132">
        <f>'Income Statement'!B$6/'Working Capital'!D5</f>
        <v>362.3097632</v>
      </c>
      <c r="E9" s="132">
        <f>'Income Statement'!C$6/'Working Capital'!E5</f>
        <v>752.5656861</v>
      </c>
      <c r="F9" s="132">
        <f>'Income Statement'!D$6/'Working Capital'!F5</f>
        <v>1303.07798</v>
      </c>
      <c r="G9" s="132">
        <f>'Income Statement'!E$6/'Working Capital'!G5</f>
        <v>2241.017766</v>
      </c>
      <c r="H9" s="132">
        <f>'Income Statement'!F$6/'Working Capital'!H5</f>
        <v>3342.858665</v>
      </c>
    </row>
    <row r="10">
      <c r="A10" s="4" t="s">
        <v>179</v>
      </c>
      <c r="B10" s="82" t="s">
        <v>93</v>
      </c>
      <c r="C10" s="4"/>
      <c r="D10" s="132">
        <f>'Income Statement'!B$7/'Working Capital'!D6</f>
        <v>300.6913425</v>
      </c>
      <c r="E10" s="132">
        <f>'Income Statement'!C$7/'Working Capital'!E6</f>
        <v>583.1658738</v>
      </c>
      <c r="F10" s="132">
        <f>'Income Statement'!D$7/'Working Capital'!F6</f>
        <v>1062.552162</v>
      </c>
      <c r="G10" s="132">
        <f>'Income Statement'!E$7/'Working Capital'!G6</f>
        <v>1706.558269</v>
      </c>
      <c r="H10" s="132">
        <f>'Income Statement'!F$7/'Working Capital'!H6</f>
        <v>2575.14699</v>
      </c>
    </row>
    <row r="11">
      <c r="A11" s="4" t="s">
        <v>180</v>
      </c>
      <c r="B11" s="82" t="s">
        <v>93</v>
      </c>
      <c r="C11" s="4"/>
      <c r="D11" s="132">
        <f>'Income Statement'!B$7/'Working Capital'!D7</f>
        <v>206.7252979</v>
      </c>
      <c r="E11" s="132">
        <f>'Income Statement'!C$7/'Working Capital'!E7</f>
        <v>388.7772492</v>
      </c>
      <c r="F11" s="132">
        <f>'Income Statement'!D$7/'Working Capital'!F7</f>
        <v>683.0692473</v>
      </c>
      <c r="G11" s="132">
        <f>'Income Statement'!E$7/'Working Capital'!G7</f>
        <v>1050.189704</v>
      </c>
      <c r="H11" s="132">
        <f>'Income Statement'!F$7/'Working Capital'!H7</f>
        <v>1584.70584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6" width="12.63"/>
  </cols>
  <sheetData>
    <row r="1">
      <c r="A1" s="133" t="s">
        <v>104</v>
      </c>
      <c r="B1" s="4"/>
      <c r="C1" s="4"/>
      <c r="D1" s="4"/>
      <c r="E1" s="4"/>
      <c r="F1" s="4"/>
      <c r="G1" s="4"/>
    </row>
    <row r="2">
      <c r="A2" s="4"/>
      <c r="B2" s="4"/>
      <c r="C2" s="6">
        <f>Assumptions!D2</f>
        <v>2026</v>
      </c>
      <c r="D2" s="6">
        <f>Assumptions!E2</f>
        <v>2027</v>
      </c>
      <c r="E2" s="6">
        <f>Assumptions!F2</f>
        <v>2028</v>
      </c>
      <c r="F2" s="6">
        <f>Assumptions!G2</f>
        <v>2029</v>
      </c>
      <c r="G2" s="6">
        <f>Assumptions!H2</f>
        <v>2030</v>
      </c>
    </row>
    <row r="3">
      <c r="A3" s="4" t="s">
        <v>181</v>
      </c>
      <c r="B3" s="4"/>
      <c r="C3" s="134">
        <v>0.0</v>
      </c>
      <c r="D3" s="135">
        <f t="shared" ref="D3:G3" si="1">C6</f>
        <v>100</v>
      </c>
      <c r="E3" s="135">
        <f t="shared" si="1"/>
        <v>300</v>
      </c>
      <c r="F3" s="135">
        <f t="shared" si="1"/>
        <v>400</v>
      </c>
      <c r="G3" s="135">
        <f t="shared" si="1"/>
        <v>400</v>
      </c>
    </row>
    <row r="4">
      <c r="A4" s="4" t="s">
        <v>182</v>
      </c>
      <c r="B4" s="4"/>
      <c r="C4" s="132">
        <f>Assumptions!C143</f>
        <v>100</v>
      </c>
      <c r="D4" s="132">
        <f>Assumptions!D143</f>
        <v>200</v>
      </c>
      <c r="E4" s="132">
        <f>Assumptions!E143</f>
        <v>100</v>
      </c>
      <c r="F4" s="132">
        <f>Assumptions!F143</f>
        <v>0</v>
      </c>
      <c r="G4" s="132">
        <f>Assumptions!G143</f>
        <v>0</v>
      </c>
    </row>
    <row r="5">
      <c r="A5" s="4" t="s">
        <v>183</v>
      </c>
      <c r="B5" s="4"/>
      <c r="C5" s="132">
        <f>Assumptions!C144</f>
        <v>0</v>
      </c>
      <c r="D5" s="132">
        <f>Assumptions!D144</f>
        <v>0</v>
      </c>
      <c r="E5" s="132">
        <f>Assumptions!E144</f>
        <v>0</v>
      </c>
      <c r="F5" s="132">
        <f>Assumptions!F144</f>
        <v>0</v>
      </c>
      <c r="G5" s="132">
        <f>Assumptions!G144</f>
        <v>0</v>
      </c>
    </row>
    <row r="6">
      <c r="A6" s="136" t="s">
        <v>184</v>
      </c>
      <c r="B6" s="4"/>
      <c r="C6" s="137">
        <f t="shared" ref="C6:G6" si="2">C3+C4-C5</f>
        <v>100</v>
      </c>
      <c r="D6" s="137">
        <f t="shared" si="2"/>
        <v>300</v>
      </c>
      <c r="E6" s="137">
        <f t="shared" si="2"/>
        <v>400</v>
      </c>
      <c r="F6" s="137">
        <f t="shared" si="2"/>
        <v>400</v>
      </c>
      <c r="G6" s="137">
        <f t="shared" si="2"/>
        <v>400</v>
      </c>
    </row>
    <row r="7">
      <c r="A7" s="4"/>
      <c r="B7" s="4"/>
      <c r="C7" s="138"/>
      <c r="D7" s="138"/>
      <c r="E7" s="138"/>
      <c r="F7" s="138"/>
      <c r="G7" s="138"/>
    </row>
    <row r="8">
      <c r="A8" s="4"/>
      <c r="B8" s="4"/>
      <c r="C8" s="138"/>
      <c r="D8" s="138"/>
      <c r="E8" s="138"/>
      <c r="F8" s="138"/>
      <c r="G8" s="138"/>
    </row>
    <row r="9">
      <c r="A9" s="4" t="s">
        <v>185</v>
      </c>
      <c r="B9" s="4"/>
      <c r="C9" s="84">
        <v>0.0</v>
      </c>
      <c r="D9" s="132">
        <f t="shared" ref="D9:G9" si="3">C12</f>
        <v>531.5034169</v>
      </c>
      <c r="E9" s="132">
        <f t="shared" si="3"/>
        <v>1671.707768</v>
      </c>
      <c r="F9" s="132">
        <f t="shared" si="3"/>
        <v>3935.162522</v>
      </c>
      <c r="G9" s="132">
        <f t="shared" si="3"/>
        <v>8044.532674</v>
      </c>
    </row>
    <row r="10">
      <c r="A10" s="4" t="s">
        <v>186</v>
      </c>
      <c r="B10" s="4"/>
      <c r="C10" s="132">
        <f>'Income Statement'!B18</f>
        <v>590.5593521</v>
      </c>
      <c r="D10" s="132">
        <f>'Income Statement'!C18</f>
        <v>1341.416884</v>
      </c>
      <c r="E10" s="132">
        <f>'Income Statement'!D18</f>
        <v>2829.318442</v>
      </c>
      <c r="F10" s="132">
        <f>'Income Statement'!E18</f>
        <v>5136.71269</v>
      </c>
      <c r="G10" s="132">
        <f>'Income Statement'!F18</f>
        <v>7874.244421</v>
      </c>
    </row>
    <row r="11">
      <c r="A11" s="4" t="s">
        <v>187</v>
      </c>
      <c r="B11" s="4"/>
      <c r="C11" s="132">
        <f>IF(C10&gt;=0,C10*Assumptions!C$146,0)</f>
        <v>59.05593521</v>
      </c>
      <c r="D11" s="132">
        <f>IF(D10&gt;=0,D10*Assumptions!D$146,0)</f>
        <v>201.2125326</v>
      </c>
      <c r="E11" s="132">
        <f>IF(E10&gt;=0,E10*Assumptions!E$146,0)</f>
        <v>565.8636884</v>
      </c>
      <c r="F11" s="132">
        <f>IF(F10&gt;=0,F10*Assumptions!F$146,0)</f>
        <v>1027.342538</v>
      </c>
      <c r="G11" s="132">
        <f>IF(G10&gt;=0,G10*Assumptions!G$146,0)</f>
        <v>1574.848884</v>
      </c>
    </row>
    <row r="12">
      <c r="A12" s="136" t="s">
        <v>188</v>
      </c>
      <c r="B12" s="4"/>
      <c r="C12" s="137">
        <f t="shared" ref="C12:G12" si="4">C9+C10-C11</f>
        <v>531.5034169</v>
      </c>
      <c r="D12" s="137">
        <f t="shared" si="4"/>
        <v>1671.707768</v>
      </c>
      <c r="E12" s="137">
        <f t="shared" si="4"/>
        <v>3935.162522</v>
      </c>
      <c r="F12" s="137">
        <f t="shared" si="4"/>
        <v>8044.532674</v>
      </c>
      <c r="G12" s="137">
        <f t="shared" si="4"/>
        <v>14343.92821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7" t="s">
        <v>189</v>
      </c>
      <c r="B1" s="4"/>
      <c r="C1" s="4" t="s">
        <v>167</v>
      </c>
      <c r="D1" s="4"/>
      <c r="E1" s="4"/>
      <c r="F1" s="4"/>
      <c r="G1" s="4"/>
    </row>
    <row r="2">
      <c r="A2" s="4"/>
      <c r="B2" s="4"/>
      <c r="C2" s="4"/>
      <c r="D2" s="4"/>
      <c r="E2" s="4"/>
      <c r="F2" s="4"/>
      <c r="G2" s="4"/>
    </row>
    <row r="3">
      <c r="A3" s="4"/>
      <c r="B3" s="4"/>
      <c r="C3" s="6">
        <f>'Income Statement'!C3</f>
        <v>2027</v>
      </c>
      <c r="D3" s="6">
        <f>'Income Statement'!D3</f>
        <v>2028</v>
      </c>
      <c r="E3" s="6">
        <f>'Income Statement'!E3</f>
        <v>2029</v>
      </c>
      <c r="F3" s="6">
        <f>'Income Statement'!F3</f>
        <v>2030</v>
      </c>
      <c r="G3" s="6" t="str">
        <f>'Income Statement'!G3</f>
        <v/>
      </c>
    </row>
    <row r="4">
      <c r="A4" s="4"/>
      <c r="B4" s="4"/>
      <c r="C4" s="4"/>
      <c r="D4" s="4"/>
      <c r="E4" s="4"/>
      <c r="F4" s="4"/>
      <c r="G4" s="4"/>
    </row>
    <row r="5">
      <c r="A5" s="4" t="s">
        <v>190</v>
      </c>
      <c r="B5" s="4"/>
      <c r="C5" s="84">
        <v>0.0</v>
      </c>
      <c r="D5" s="132">
        <f t="shared" ref="D5:G5" si="1">+C7</f>
        <v>0</v>
      </c>
      <c r="E5" s="132">
        <f t="shared" si="1"/>
        <v>0</v>
      </c>
      <c r="F5" s="132">
        <f t="shared" si="1"/>
        <v>0</v>
      </c>
      <c r="G5" s="132">
        <f t="shared" si="1"/>
        <v>0</v>
      </c>
    </row>
    <row r="6">
      <c r="A6" s="4" t="s">
        <v>191</v>
      </c>
      <c r="B6" s="4"/>
      <c r="C6" s="139">
        <f>-MIN(C5,('Cash Flow Statement'!C31+'Cash Flow Statement'!C11+'Cash Flow Statement'!C20+'Cash Flow Statement'!C23+'Cash Flow Statement'!C24+'Cash Flow Statement'!C26+'Cash Flow Statement'!C27))</f>
        <v>0</v>
      </c>
      <c r="D6" s="139">
        <f>-MIN(D5,('Cash Flow Statement'!D31+'Cash Flow Statement'!D11+'Cash Flow Statement'!D20+'Cash Flow Statement'!D23+'Cash Flow Statement'!D24+'Cash Flow Statement'!D26+'Cash Flow Statement'!D27))</f>
        <v>0</v>
      </c>
      <c r="E6" s="139">
        <f>-MIN(E5,('Cash Flow Statement'!E31+'Cash Flow Statement'!E11+'Cash Flow Statement'!E20+'Cash Flow Statement'!E23+'Cash Flow Statement'!E24+'Cash Flow Statement'!E26+'Cash Flow Statement'!E27))</f>
        <v>0</v>
      </c>
      <c r="F6" s="139">
        <f>-MIN(F5,('Cash Flow Statement'!F31+'Cash Flow Statement'!F11+'Cash Flow Statement'!F20+'Cash Flow Statement'!F23+'Cash Flow Statement'!F24+'Cash Flow Statement'!F26+'Cash Flow Statement'!F27))</f>
        <v>0</v>
      </c>
      <c r="G6" s="139">
        <f>-MIN(G5,('Cash Flow Statement'!G31+'Cash Flow Statement'!G11+'Cash Flow Statement'!G20+'Cash Flow Statement'!G23+'Cash Flow Statement'!G24+'Cash Flow Statement'!G26+'Cash Flow Statement'!G27))</f>
        <v>0</v>
      </c>
    </row>
    <row r="7">
      <c r="A7" s="4" t="s">
        <v>192</v>
      </c>
      <c r="B7" s="4"/>
      <c r="C7" s="132">
        <f t="shared" ref="C7:G7" si="2">+C5+C6</f>
        <v>0</v>
      </c>
      <c r="D7" s="132">
        <f t="shared" si="2"/>
        <v>0</v>
      </c>
      <c r="E7" s="132">
        <f t="shared" si="2"/>
        <v>0</v>
      </c>
      <c r="F7" s="132">
        <f t="shared" si="2"/>
        <v>0</v>
      </c>
      <c r="G7" s="132">
        <f t="shared" si="2"/>
        <v>0</v>
      </c>
    </row>
    <row r="8">
      <c r="A8" s="4"/>
      <c r="B8" s="4"/>
      <c r="C8" s="138"/>
      <c r="D8" s="138"/>
      <c r="E8" s="138"/>
      <c r="F8" s="138"/>
      <c r="G8" s="138"/>
    </row>
    <row r="9">
      <c r="A9" s="4" t="s">
        <v>193</v>
      </c>
      <c r="B9" s="4"/>
      <c r="C9" s="132">
        <f>AVERAGE(C5,C7)*(Assumptions!D$8+Assumptions!$C$152)</f>
        <v>0</v>
      </c>
      <c r="D9" s="132">
        <f>AVERAGE(D5,D7)*(Assumptions!E$8+Assumptions!$C$152)</f>
        <v>0</v>
      </c>
      <c r="E9" s="132">
        <f>AVERAGE(E5,E7)*(Assumptions!F$8+Assumptions!$C$152)</f>
        <v>0</v>
      </c>
      <c r="F9" s="132">
        <f>AVERAGE(F5,F7)*(Assumptions!G$8+Assumptions!$C$152)</f>
        <v>0</v>
      </c>
      <c r="G9" s="132">
        <f>AVERAGE(G5,G7)*(Assumptions!H$8+Assumptions!$C$152)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6" width="12.63"/>
  </cols>
  <sheetData>
    <row r="1">
      <c r="A1" s="97" t="s">
        <v>108</v>
      </c>
    </row>
    <row r="2">
      <c r="A2" s="4"/>
      <c r="B2" s="4"/>
      <c r="C2" s="6">
        <f>Assumptions!D2</f>
        <v>2026</v>
      </c>
      <c r="D2" s="6">
        <f>Assumptions!E2</f>
        <v>2027</v>
      </c>
      <c r="E2" s="6">
        <f>Assumptions!F2</f>
        <v>2028</v>
      </c>
      <c r="F2" s="6">
        <f>Assumptions!G2</f>
        <v>2029</v>
      </c>
      <c r="G2" s="6">
        <f>Assumptions!H2</f>
        <v>2030</v>
      </c>
    </row>
    <row r="3">
      <c r="A3" s="4"/>
      <c r="B3" s="4"/>
      <c r="C3" s="4"/>
      <c r="D3" s="4"/>
      <c r="E3" s="4"/>
      <c r="F3" s="4"/>
      <c r="G3" s="4"/>
    </row>
    <row r="4">
      <c r="A4" s="4" t="s">
        <v>194</v>
      </c>
      <c r="B4" s="4"/>
      <c r="C4" s="84">
        <v>0.0</v>
      </c>
      <c r="D4" s="132">
        <f t="shared" ref="D4:G4" si="1">+C7</f>
        <v>500</v>
      </c>
      <c r="E4" s="132">
        <f t="shared" si="1"/>
        <v>375</v>
      </c>
      <c r="F4" s="132">
        <f t="shared" si="1"/>
        <v>250</v>
      </c>
      <c r="G4" s="132">
        <f t="shared" si="1"/>
        <v>125</v>
      </c>
    </row>
    <row r="5">
      <c r="A5" s="4" t="s">
        <v>195</v>
      </c>
      <c r="B5" s="4"/>
      <c r="C5" s="132">
        <f>Assumptions!C150</f>
        <v>500</v>
      </c>
      <c r="D5" s="132">
        <f>Assumptions!D150</f>
        <v>0</v>
      </c>
      <c r="E5" s="132">
        <f>Assumptions!E150</f>
        <v>0</v>
      </c>
      <c r="F5" s="132">
        <f>Assumptions!F150</f>
        <v>0</v>
      </c>
      <c r="G5" s="132">
        <f>Assumptions!G150</f>
        <v>0</v>
      </c>
    </row>
    <row r="6">
      <c r="A6" s="4" t="s">
        <v>196</v>
      </c>
      <c r="B6" s="4"/>
      <c r="C6" s="140">
        <v>0.0</v>
      </c>
      <c r="D6" s="141">
        <f>Assumptions!C$150/(Assumptions!$C$153-Assumptions!$C$154)</f>
        <v>125</v>
      </c>
      <c r="E6" s="141">
        <f t="shared" ref="E6:I6" si="2">+D6</f>
        <v>125</v>
      </c>
      <c r="F6" s="141">
        <f t="shared" si="2"/>
        <v>125</v>
      </c>
      <c r="G6" s="141">
        <f t="shared" si="2"/>
        <v>125</v>
      </c>
      <c r="H6" s="141">
        <f t="shared" si="2"/>
        <v>125</v>
      </c>
      <c r="I6" s="141">
        <f t="shared" si="2"/>
        <v>125</v>
      </c>
    </row>
    <row r="7">
      <c r="A7" s="4" t="s">
        <v>197</v>
      </c>
      <c r="B7" s="4"/>
      <c r="C7" s="142">
        <f t="shared" ref="C7:G7" si="3">+C4+C5-C6</f>
        <v>500</v>
      </c>
      <c r="D7" s="142">
        <f t="shared" si="3"/>
        <v>375</v>
      </c>
      <c r="E7" s="142">
        <f t="shared" si="3"/>
        <v>250</v>
      </c>
      <c r="F7" s="142">
        <f t="shared" si="3"/>
        <v>125</v>
      </c>
      <c r="G7" s="142">
        <f t="shared" si="3"/>
        <v>0</v>
      </c>
    </row>
    <row r="8">
      <c r="A8" s="4"/>
      <c r="B8" s="4"/>
      <c r="C8" s="138"/>
      <c r="D8" s="138"/>
      <c r="E8" s="138"/>
      <c r="F8" s="138"/>
      <c r="G8" s="138"/>
    </row>
    <row r="9">
      <c r="A9" s="4" t="s">
        <v>198</v>
      </c>
      <c r="B9" s="4"/>
      <c r="C9" s="132">
        <f t="shared" ref="C9:G9" si="4">D6</f>
        <v>125</v>
      </c>
      <c r="D9" s="132">
        <f t="shared" si="4"/>
        <v>125</v>
      </c>
      <c r="E9" s="132">
        <f t="shared" si="4"/>
        <v>125</v>
      </c>
      <c r="F9" s="132">
        <f t="shared" si="4"/>
        <v>125</v>
      </c>
      <c r="G9" s="132">
        <f t="shared" si="4"/>
        <v>125</v>
      </c>
    </row>
    <row r="10">
      <c r="A10" s="4" t="s">
        <v>199</v>
      </c>
      <c r="B10" s="4"/>
      <c r="C10" s="132">
        <f t="shared" ref="C10:G10" si="5">+C7-C9</f>
        <v>375</v>
      </c>
      <c r="D10" s="132">
        <f t="shared" si="5"/>
        <v>250</v>
      </c>
      <c r="E10" s="132">
        <f t="shared" si="5"/>
        <v>125</v>
      </c>
      <c r="F10" s="132">
        <f t="shared" si="5"/>
        <v>0</v>
      </c>
      <c r="G10" s="132">
        <f t="shared" si="5"/>
        <v>-125</v>
      </c>
    </row>
    <row r="11">
      <c r="A11" s="4"/>
      <c r="B11" s="4"/>
      <c r="C11" s="138"/>
      <c r="D11" s="138"/>
      <c r="E11" s="138"/>
      <c r="F11" s="138"/>
      <c r="G11" s="138"/>
    </row>
    <row r="12">
      <c r="A12" s="4" t="s">
        <v>200</v>
      </c>
      <c r="B12" s="4"/>
      <c r="C12" s="132">
        <f>AVERAGE(C4,C7)*(Assumptions!D8+Assumptions!$C$152)</f>
        <v>37.5</v>
      </c>
      <c r="D12" s="132">
        <f>AVERAGE(D4,D7)*(Assumptions!E8+Assumptions!$C$152)</f>
        <v>63.4375</v>
      </c>
      <c r="E12" s="132">
        <f>AVERAGE(E4,E7)*(Assumptions!F8+Assumptions!$C$152)</f>
        <v>43.75</v>
      </c>
      <c r="F12" s="132">
        <f>AVERAGE(F4,F7)*(Assumptions!G8+Assumptions!$C$152)</f>
        <v>25.3125</v>
      </c>
      <c r="G12" s="132">
        <f>AVERAGE(G4,G7)*(Assumptions!H8+Assumptions!$C$152)</f>
        <v>8.125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6" width="12.63"/>
  </cols>
  <sheetData>
    <row r="1" ht="15.75" customHeight="1">
      <c r="A1" s="143" t="s">
        <v>201</v>
      </c>
    </row>
    <row r="2" ht="15.75" customHeight="1">
      <c r="A2" s="55"/>
    </row>
    <row r="3" ht="15.75" customHeight="1">
      <c r="A3" s="55"/>
      <c r="B3" s="43">
        <v>2026.0</v>
      </c>
      <c r="C3" s="43">
        <f t="shared" ref="C3:F3" si="1">B3+1</f>
        <v>2027</v>
      </c>
      <c r="D3" s="43">
        <f t="shared" si="1"/>
        <v>2028</v>
      </c>
      <c r="E3" s="43">
        <f t="shared" si="1"/>
        <v>2029</v>
      </c>
      <c r="F3" s="43">
        <f t="shared" si="1"/>
        <v>2030</v>
      </c>
    </row>
    <row r="4" ht="15.75" customHeight="1">
      <c r="A4" s="55" t="s">
        <v>202</v>
      </c>
      <c r="B4" s="100">
        <f>Sales!C80</f>
        <v>3467.707</v>
      </c>
      <c r="C4" s="100">
        <f>Sales!D80</f>
        <v>7202.8898</v>
      </c>
      <c r="D4" s="100">
        <f>Sales!E80</f>
        <v>14030.89215</v>
      </c>
      <c r="E4" s="100">
        <f>Sales!F80</f>
        <v>24130.1588</v>
      </c>
      <c r="F4" s="100">
        <f>Sales!G80</f>
        <v>35994.23068</v>
      </c>
    </row>
    <row r="5" ht="15.75" customHeight="1">
      <c r="A5" s="55" t="s">
        <v>203</v>
      </c>
      <c r="B5" s="100">
        <f t="shared" ref="B5:F5" si="2">B4-B6</f>
        <v>528.9722542</v>
      </c>
      <c r="C5" s="100">
        <f t="shared" si="2"/>
        <v>1098.745902</v>
      </c>
      <c r="D5" s="100">
        <f t="shared" si="2"/>
        <v>2140.305583</v>
      </c>
      <c r="E5" s="100">
        <f t="shared" si="2"/>
        <v>3680.871681</v>
      </c>
      <c r="F5" s="100">
        <f t="shared" si="2"/>
        <v>5490.645358</v>
      </c>
    </row>
    <row r="6" ht="15.75" customHeight="1">
      <c r="A6" s="79" t="s">
        <v>204</v>
      </c>
      <c r="B6" s="102">
        <f>B4/(1+Assumptions!$C$27)</f>
        <v>2938.734746</v>
      </c>
      <c r="C6" s="102">
        <f>C4/(1+Assumptions!$C$27)</f>
        <v>6104.143898</v>
      </c>
      <c r="D6" s="102">
        <f>D4/(1+Assumptions!$C$27)</f>
        <v>11890.58657</v>
      </c>
      <c r="E6" s="102">
        <f>E4/(1+Assumptions!$C$27)</f>
        <v>20449.28711</v>
      </c>
      <c r="F6" s="102">
        <f>F4/(1+Assumptions!$C$27)</f>
        <v>30503.58532</v>
      </c>
    </row>
    <row r="7" ht="15.75" customHeight="1">
      <c r="A7" s="55" t="s">
        <v>205</v>
      </c>
      <c r="B7" s="100">
        <f>Cost!B68</f>
        <v>1371.90425</v>
      </c>
      <c r="C7" s="100">
        <f>Cost!C68</f>
        <v>2838.073919</v>
      </c>
      <c r="D7" s="100">
        <f>Cost!D68</f>
        <v>5540.450561</v>
      </c>
      <c r="E7" s="100">
        <f>Cost!E68</f>
        <v>9582.981046</v>
      </c>
      <c r="F7" s="100">
        <f>Cost!F68</f>
        <v>14460.44079</v>
      </c>
    </row>
    <row r="8" ht="15.75" customHeight="1">
      <c r="A8" s="79" t="s">
        <v>206</v>
      </c>
      <c r="B8" s="102">
        <f t="shared" ref="B8:F8" si="3">B6-B7</f>
        <v>1566.830496</v>
      </c>
      <c r="C8" s="102">
        <f t="shared" si="3"/>
        <v>3266.069979</v>
      </c>
      <c r="D8" s="102">
        <f t="shared" si="3"/>
        <v>6350.136009</v>
      </c>
      <c r="E8" s="102">
        <f t="shared" si="3"/>
        <v>10866.30607</v>
      </c>
      <c r="F8" s="102">
        <f t="shared" si="3"/>
        <v>16043.14453</v>
      </c>
    </row>
    <row r="9" ht="15.75" customHeight="1">
      <c r="A9" s="55" t="s">
        <v>207</v>
      </c>
      <c r="B9" s="100">
        <f>Cost!C82</f>
        <v>323.260822</v>
      </c>
      <c r="C9" s="100">
        <f>Cost!D82</f>
        <v>671.4558288</v>
      </c>
      <c r="D9" s="100">
        <f>Cost!E82</f>
        <v>1307.964523</v>
      </c>
      <c r="E9" s="100">
        <f>Cost!F82</f>
        <v>2249.421583</v>
      </c>
      <c r="F9" s="100">
        <f>Cost!G82</f>
        <v>3050.358532</v>
      </c>
    </row>
    <row r="10" ht="15.75" customHeight="1">
      <c r="A10" s="55" t="s">
        <v>208</v>
      </c>
      <c r="B10" s="100">
        <f>Cost!C75</f>
        <v>356.695105</v>
      </c>
      <c r="C10" s="100">
        <f>Cost!D75</f>
        <v>624.3762622</v>
      </c>
      <c r="D10" s="100">
        <f>Cost!E75</f>
        <v>997.281101</v>
      </c>
      <c r="E10" s="100">
        <f>Cost!F75</f>
        <v>1341.617346</v>
      </c>
      <c r="F10" s="100">
        <f>Cost!G75</f>
        <v>1879.857303</v>
      </c>
    </row>
    <row r="11" ht="15.75" customHeight="1">
      <c r="A11" s="79" t="s">
        <v>209</v>
      </c>
      <c r="B11" s="102">
        <f t="shared" ref="B11:F11" si="4">B8-(B9+B10)</f>
        <v>886.8745687</v>
      </c>
      <c r="C11" s="102">
        <f t="shared" si="4"/>
        <v>1970.237888</v>
      </c>
      <c r="D11" s="102">
        <f t="shared" si="4"/>
        <v>4044.890386</v>
      </c>
      <c r="E11" s="102">
        <f t="shared" si="4"/>
        <v>7275.267139</v>
      </c>
      <c r="F11" s="102">
        <f t="shared" si="4"/>
        <v>11112.92869</v>
      </c>
    </row>
    <row r="12" ht="15.75" customHeight="1">
      <c r="A12" s="55" t="s">
        <v>172</v>
      </c>
      <c r="B12" s="144">
        <f>'Fixed Assets'!E10</f>
        <v>17.6</v>
      </c>
      <c r="C12" s="144">
        <f>'Fixed Assets'!E19</f>
        <v>17.48</v>
      </c>
      <c r="D12" s="144">
        <f>'Fixed Assets'!E28</f>
        <v>16.184</v>
      </c>
      <c r="E12" s="144">
        <f>'Fixed Assets'!E37</f>
        <v>15.1472</v>
      </c>
      <c r="F12" s="144">
        <f>'Fixed Assets'!E46</f>
        <v>14.31776</v>
      </c>
    </row>
    <row r="13" ht="15.75" customHeight="1">
      <c r="A13" s="55" t="s">
        <v>210</v>
      </c>
      <c r="B13" s="145">
        <f>Assumptions!$B$173/Assumptions!$B$174</f>
        <v>0.0008333333333</v>
      </c>
      <c r="C13" s="145">
        <f>Assumptions!$B$173/Assumptions!$B$174</f>
        <v>0.0008333333333</v>
      </c>
      <c r="D13" s="145">
        <f>Assumptions!$B$173/Assumptions!$B$174</f>
        <v>0.0008333333333</v>
      </c>
      <c r="E13" s="145">
        <f>Assumptions!$B$173/Assumptions!$B$174</f>
        <v>0.0008333333333</v>
      </c>
      <c r="F13" s="145">
        <f>Assumptions!$B$173/Assumptions!$B$174</f>
        <v>0.0008333333333</v>
      </c>
    </row>
    <row r="14" ht="15.75" customHeight="1">
      <c r="A14" s="79" t="s">
        <v>211</v>
      </c>
      <c r="B14" s="102">
        <f t="shared" ref="B14:F14" si="5">B11-(B12+B13)</f>
        <v>869.2737354</v>
      </c>
      <c r="C14" s="102">
        <f t="shared" si="5"/>
        <v>1952.757055</v>
      </c>
      <c r="D14" s="102">
        <f t="shared" si="5"/>
        <v>4028.705552</v>
      </c>
      <c r="E14" s="102">
        <f t="shared" si="5"/>
        <v>7260.119106</v>
      </c>
      <c r="F14" s="102">
        <f t="shared" si="5"/>
        <v>11098.6101</v>
      </c>
    </row>
    <row r="15" ht="15.75" customHeight="1">
      <c r="A15" s="55" t="s">
        <v>193</v>
      </c>
      <c r="B15" s="144">
        <f>'Long Term Loan'!C12+'Short Term Loan'!C9</f>
        <v>37.5</v>
      </c>
      <c r="C15" s="144">
        <f>'Long Term Loan'!D12+'Short Term Loan'!D9</f>
        <v>63.4375</v>
      </c>
      <c r="D15" s="144">
        <f>'Long Term Loan'!E12+'Short Term Loan'!E9</f>
        <v>43.75</v>
      </c>
      <c r="E15" s="144">
        <f>'Long Term Loan'!F12+'Short Term Loan'!F9</f>
        <v>25.3125</v>
      </c>
      <c r="F15" s="144">
        <f>'Long Term Loan'!G12+'Short Term Loan'!G9</f>
        <v>8.125</v>
      </c>
    </row>
    <row r="16" ht="15.75" customHeight="1">
      <c r="A16" s="79" t="s">
        <v>212</v>
      </c>
      <c r="B16" s="102">
        <f t="shared" ref="B16:F16" si="6">B14-B15</f>
        <v>831.7737354</v>
      </c>
      <c r="C16" s="102">
        <f t="shared" si="6"/>
        <v>1889.319555</v>
      </c>
      <c r="D16" s="102">
        <f t="shared" si="6"/>
        <v>3984.955552</v>
      </c>
      <c r="E16" s="102">
        <f t="shared" si="6"/>
        <v>7234.806606</v>
      </c>
      <c r="F16" s="102">
        <f t="shared" si="6"/>
        <v>11090.4851</v>
      </c>
    </row>
    <row r="17" ht="15.75" customHeight="1">
      <c r="A17" s="55" t="s">
        <v>213</v>
      </c>
      <c r="B17" s="118">
        <f>B16*Assumptions!$C$28</f>
        <v>241.2143833</v>
      </c>
      <c r="C17" s="118">
        <f>C16*Assumptions!$C$28</f>
        <v>547.9026709</v>
      </c>
      <c r="D17" s="118">
        <f>D16*Assumptions!$C$28</f>
        <v>1155.63711</v>
      </c>
      <c r="E17" s="118">
        <f>E16*Assumptions!$C$28</f>
        <v>2098.093916</v>
      </c>
      <c r="F17" s="118">
        <f>F16*Assumptions!$C$28</f>
        <v>3216.240679</v>
      </c>
    </row>
    <row r="18" ht="15.75" customHeight="1">
      <c r="A18" s="79" t="s">
        <v>186</v>
      </c>
      <c r="B18" s="102">
        <f t="shared" ref="B18:F18" si="7">B16-B17</f>
        <v>590.5593521</v>
      </c>
      <c r="C18" s="102">
        <f t="shared" si="7"/>
        <v>1341.416884</v>
      </c>
      <c r="D18" s="102">
        <f t="shared" si="7"/>
        <v>2829.318442</v>
      </c>
      <c r="E18" s="102">
        <f t="shared" si="7"/>
        <v>5136.71269</v>
      </c>
      <c r="F18" s="102">
        <f t="shared" si="7"/>
        <v>7874.244421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6" width="12.63"/>
  </cols>
  <sheetData>
    <row r="1">
      <c r="A1" s="7" t="s">
        <v>214</v>
      </c>
      <c r="B1" s="4" t="s">
        <v>167</v>
      </c>
      <c r="C1" s="4"/>
      <c r="D1" s="4"/>
      <c r="E1" s="4"/>
      <c r="F1" s="4"/>
    </row>
    <row r="2">
      <c r="A2" s="4"/>
      <c r="B2" s="4"/>
      <c r="C2" s="4"/>
      <c r="D2" s="4"/>
      <c r="E2" s="4"/>
      <c r="F2" s="4"/>
    </row>
    <row r="3">
      <c r="A3" s="4"/>
      <c r="B3" s="4"/>
      <c r="C3" s="6">
        <f>Assumptions!E2</f>
        <v>2027</v>
      </c>
      <c r="D3" s="6">
        <f>Assumptions!F2</f>
        <v>2028</v>
      </c>
      <c r="E3" s="6">
        <f>Assumptions!G2</f>
        <v>2029</v>
      </c>
      <c r="F3" s="6">
        <f>Assumptions!H2</f>
        <v>2030</v>
      </c>
    </row>
    <row r="4">
      <c r="A4" s="7" t="s">
        <v>215</v>
      </c>
      <c r="B4" s="4"/>
      <c r="C4" s="4"/>
      <c r="D4" s="4"/>
      <c r="E4" s="4"/>
      <c r="F4" s="4"/>
    </row>
    <row r="5">
      <c r="A5" s="26" t="s">
        <v>216</v>
      </c>
      <c r="B5" s="4"/>
      <c r="C5" s="138"/>
      <c r="D5" s="138"/>
      <c r="E5" s="138"/>
      <c r="F5" s="138"/>
    </row>
    <row r="6">
      <c r="A6" s="4" t="s">
        <v>217</v>
      </c>
      <c r="B6" s="4"/>
      <c r="C6" s="139">
        <f>'Cash Flow Statement'!D32</f>
        <v>1668.610707</v>
      </c>
      <c r="D6" s="139">
        <f>'Cash Flow Statement'!E32</f>
        <v>3546.831457</v>
      </c>
      <c r="E6" s="139">
        <f>'Cash Flow Statement'!F32</f>
        <v>6874.294673</v>
      </c>
      <c r="F6" s="139">
        <f>'Cash Flow Statement'!G32</f>
        <v>12284.23966</v>
      </c>
    </row>
    <row r="7">
      <c r="A7" s="4" t="s">
        <v>218</v>
      </c>
      <c r="B7" s="4"/>
      <c r="C7" s="132">
        <f>'Working Capital'!E9</f>
        <v>752.5656861</v>
      </c>
      <c r="D7" s="132">
        <f>'Working Capital'!F9</f>
        <v>1303.07798</v>
      </c>
      <c r="E7" s="132">
        <f>'Working Capital'!G9</f>
        <v>2241.017766</v>
      </c>
      <c r="F7" s="132">
        <f>'Working Capital'!H9</f>
        <v>3342.858665</v>
      </c>
    </row>
    <row r="8">
      <c r="A8" s="4" t="s">
        <v>219</v>
      </c>
      <c r="B8" s="4"/>
      <c r="C8" s="132">
        <f>'Working Capital'!E11</f>
        <v>388.7772492</v>
      </c>
      <c r="D8" s="132">
        <f>'Working Capital'!F11</f>
        <v>683.0692473</v>
      </c>
      <c r="E8" s="132">
        <f>'Working Capital'!G11</f>
        <v>1050.189704</v>
      </c>
      <c r="F8" s="132">
        <f>'Working Capital'!H11</f>
        <v>1584.70584</v>
      </c>
    </row>
    <row r="9">
      <c r="A9" s="4" t="s">
        <v>220</v>
      </c>
      <c r="B9" s="4"/>
      <c r="C9" s="84">
        <v>0.0</v>
      </c>
      <c r="D9" s="84">
        <v>0.0</v>
      </c>
      <c r="E9" s="84">
        <v>0.0</v>
      </c>
      <c r="F9" s="84">
        <v>0.0</v>
      </c>
    </row>
    <row r="10">
      <c r="A10" s="136" t="s">
        <v>221</v>
      </c>
      <c r="B10" s="4"/>
      <c r="C10" s="146">
        <f t="shared" ref="C10:F10" si="1">SUM(C6:C9)</f>
        <v>2809.953642</v>
      </c>
      <c r="D10" s="146">
        <f t="shared" si="1"/>
        <v>5532.978684</v>
      </c>
      <c r="E10" s="146">
        <f t="shared" si="1"/>
        <v>10165.50214</v>
      </c>
      <c r="F10" s="146">
        <f t="shared" si="1"/>
        <v>17211.80416</v>
      </c>
    </row>
    <row r="11">
      <c r="A11" s="4"/>
      <c r="B11" s="4"/>
      <c r="C11" s="138"/>
      <c r="D11" s="138"/>
      <c r="E11" s="138"/>
      <c r="F11" s="138"/>
    </row>
    <row r="12">
      <c r="A12" s="26" t="s">
        <v>222</v>
      </c>
      <c r="B12" s="4"/>
      <c r="C12" s="138"/>
      <c r="D12" s="138"/>
      <c r="E12" s="138"/>
      <c r="F12" s="138"/>
    </row>
    <row r="13">
      <c r="A13" s="4" t="str">
        <f>'Fixed Assets'!A5</f>
        <v>Land</v>
      </c>
      <c r="B13" s="4"/>
      <c r="C13" s="132">
        <f>'Fixed Assets'!F14</f>
        <v>22</v>
      </c>
      <c r="D13" s="132">
        <f>'Fixed Assets'!F23</f>
        <v>22</v>
      </c>
      <c r="E13" s="132">
        <f>'Fixed Assets'!F32</f>
        <v>22</v>
      </c>
      <c r="F13" s="132">
        <f>'Fixed Assets'!F41</f>
        <v>22</v>
      </c>
    </row>
    <row r="14">
      <c r="A14" s="4" t="str">
        <f>'Fixed Assets'!A6</f>
        <v>Building</v>
      </c>
      <c r="B14" s="4"/>
      <c r="C14" s="132">
        <f>'Fixed Assets'!F15</f>
        <v>28</v>
      </c>
      <c r="D14" s="132">
        <f>'Fixed Assets'!F24</f>
        <v>28</v>
      </c>
      <c r="E14" s="132">
        <f>'Fixed Assets'!F33</f>
        <v>28</v>
      </c>
      <c r="F14" s="132">
        <f>'Fixed Assets'!F42</f>
        <v>28</v>
      </c>
    </row>
    <row r="15">
      <c r="A15" s="4" t="str">
        <f>'Fixed Assets'!A7</f>
        <v>Machinery</v>
      </c>
      <c r="B15" s="4"/>
      <c r="C15" s="132">
        <f>'Fixed Assets'!F16</f>
        <v>46.4</v>
      </c>
      <c r="D15" s="132">
        <f>'Fixed Assets'!F25</f>
        <v>41.92</v>
      </c>
      <c r="E15" s="132">
        <f>'Fixed Assets'!F34</f>
        <v>38.336</v>
      </c>
      <c r="F15" s="132">
        <f>'Fixed Assets'!F43</f>
        <v>34.6688</v>
      </c>
    </row>
    <row r="16">
      <c r="A16" s="4" t="str">
        <f>'Fixed Assets'!A8</f>
        <v>Vehicles</v>
      </c>
      <c r="B16" s="4"/>
      <c r="C16" s="132">
        <f>'Fixed Assets'!F17</f>
        <v>8</v>
      </c>
      <c r="D16" s="132">
        <f>'Fixed Assets'!F26</f>
        <v>7.2</v>
      </c>
      <c r="E16" s="132">
        <f>'Fixed Assets'!F35</f>
        <v>6.56</v>
      </c>
      <c r="F16" s="132">
        <f>'Fixed Assets'!F44</f>
        <v>6.048</v>
      </c>
    </row>
    <row r="17">
      <c r="A17" s="4" t="str">
        <f>'Fixed Assets'!A9</f>
        <v>Retail outlets/Others</v>
      </c>
      <c r="B17" s="4"/>
      <c r="C17" s="132">
        <f>'Fixed Assets'!F18</f>
        <v>15.52</v>
      </c>
      <c r="D17" s="132">
        <f>'Fixed Assets'!F27</f>
        <v>15.616</v>
      </c>
      <c r="E17" s="132">
        <f>'Fixed Assets'!F36</f>
        <v>15.6928</v>
      </c>
      <c r="F17" s="132">
        <f>'Fixed Assets'!F45</f>
        <v>16.55424</v>
      </c>
    </row>
    <row r="18">
      <c r="A18" s="4" t="s">
        <v>223</v>
      </c>
      <c r="B18" s="4"/>
      <c r="C18" s="84">
        <v>0.0</v>
      </c>
      <c r="D18" s="84">
        <v>0.0</v>
      </c>
      <c r="E18" s="84">
        <v>0.0</v>
      </c>
      <c r="F18" s="84">
        <v>0.0</v>
      </c>
    </row>
    <row r="19">
      <c r="A19" s="136" t="s">
        <v>224</v>
      </c>
      <c r="B19" s="4"/>
      <c r="C19" s="146">
        <f t="shared" ref="C19:F19" si="2">SUM(C13:C18)</f>
        <v>119.92</v>
      </c>
      <c r="D19" s="146">
        <f t="shared" si="2"/>
        <v>114.736</v>
      </c>
      <c r="E19" s="146">
        <f t="shared" si="2"/>
        <v>110.5888</v>
      </c>
      <c r="F19" s="146">
        <f t="shared" si="2"/>
        <v>107.27104</v>
      </c>
    </row>
    <row r="20">
      <c r="A20" s="136" t="s">
        <v>225</v>
      </c>
      <c r="B20" s="4"/>
      <c r="C20" s="147">
        <f t="shared" ref="C20:F20" si="3">+C10+C19</f>
        <v>2929.873642</v>
      </c>
      <c r="D20" s="147">
        <f t="shared" si="3"/>
        <v>5647.714684</v>
      </c>
      <c r="E20" s="147">
        <f t="shared" si="3"/>
        <v>10276.09094</v>
      </c>
      <c r="F20" s="147">
        <f t="shared" si="3"/>
        <v>17319.0752</v>
      </c>
    </row>
    <row r="21" ht="15.75" customHeight="1">
      <c r="A21" s="4"/>
      <c r="B21" s="4"/>
      <c r="C21" s="138"/>
      <c r="D21" s="138"/>
      <c r="E21" s="138"/>
      <c r="F21" s="138"/>
    </row>
    <row r="22" ht="15.75" customHeight="1">
      <c r="A22" s="4"/>
      <c r="B22" s="4"/>
      <c r="C22" s="138"/>
      <c r="D22" s="138"/>
      <c r="E22" s="138"/>
      <c r="F22" s="138"/>
    </row>
    <row r="23" ht="15.75" customHeight="1">
      <c r="A23" s="7" t="s">
        <v>226</v>
      </c>
      <c r="B23" s="4"/>
      <c r="C23" s="138"/>
      <c r="D23" s="138"/>
      <c r="E23" s="138"/>
      <c r="F23" s="138"/>
    </row>
    <row r="24" ht="15.75" customHeight="1">
      <c r="A24" s="26" t="s">
        <v>227</v>
      </c>
      <c r="B24" s="4"/>
      <c r="C24" s="138"/>
      <c r="D24" s="138"/>
      <c r="E24" s="138"/>
      <c r="F24" s="138"/>
    </row>
    <row r="25" ht="15.75" customHeight="1">
      <c r="A25" s="4" t="s">
        <v>228</v>
      </c>
      <c r="B25" s="4"/>
      <c r="C25" s="132">
        <f>'Working Capital'!E10</f>
        <v>583.1658738</v>
      </c>
      <c r="D25" s="132">
        <f>'Working Capital'!F10</f>
        <v>1062.552162</v>
      </c>
      <c r="E25" s="132">
        <f>'Working Capital'!G10</f>
        <v>1706.558269</v>
      </c>
      <c r="F25" s="132">
        <f>'Working Capital'!H10</f>
        <v>2575.14699</v>
      </c>
    </row>
    <row r="26" ht="15.75" customHeight="1">
      <c r="A26" s="4" t="s">
        <v>229</v>
      </c>
      <c r="B26" s="4"/>
      <c r="C26" s="139">
        <f>+'Short Term Loan'!D7</f>
        <v>0</v>
      </c>
      <c r="D26" s="139">
        <f>+'Short Term Loan'!E7</f>
        <v>0</v>
      </c>
      <c r="E26" s="139">
        <f>+'Short Term Loan'!F7</f>
        <v>0</v>
      </c>
      <c r="F26" s="139">
        <f>+'Short Term Loan'!G7</f>
        <v>0</v>
      </c>
    </row>
    <row r="27" ht="15.75" customHeight="1">
      <c r="A27" s="4" t="s">
        <v>198</v>
      </c>
      <c r="B27" s="4"/>
      <c r="C27" s="132">
        <f>'Long Term Loan'!D9</f>
        <v>125</v>
      </c>
      <c r="D27" s="132">
        <f>'Long Term Loan'!E9</f>
        <v>125</v>
      </c>
      <c r="E27" s="132">
        <f>'Long Term Loan'!F9</f>
        <v>125</v>
      </c>
      <c r="F27" s="132">
        <f>'Long Term Loan'!G9</f>
        <v>125</v>
      </c>
    </row>
    <row r="28" ht="15.75" customHeight="1">
      <c r="A28" s="4" t="s">
        <v>230</v>
      </c>
      <c r="B28" s="4"/>
      <c r="C28" s="84">
        <v>0.0</v>
      </c>
      <c r="D28" s="84">
        <v>0.0</v>
      </c>
      <c r="E28" s="84">
        <v>0.0</v>
      </c>
      <c r="F28" s="84">
        <v>0.0</v>
      </c>
    </row>
    <row r="29" ht="15.75" customHeight="1">
      <c r="A29" s="136" t="s">
        <v>231</v>
      </c>
      <c r="B29" s="4"/>
      <c r="C29" s="146">
        <f t="shared" ref="C29:F29" si="4">SUM(C25:C28)</f>
        <v>708.1658738</v>
      </c>
      <c r="D29" s="146">
        <f t="shared" si="4"/>
        <v>1187.552162</v>
      </c>
      <c r="E29" s="146">
        <f t="shared" si="4"/>
        <v>1831.558269</v>
      </c>
      <c r="F29" s="146">
        <f t="shared" si="4"/>
        <v>2700.14699</v>
      </c>
    </row>
    <row r="30" ht="15.75" customHeight="1">
      <c r="A30" s="4"/>
      <c r="B30" s="4"/>
      <c r="C30" s="138"/>
      <c r="D30" s="138"/>
      <c r="E30" s="138"/>
      <c r="F30" s="138"/>
    </row>
    <row r="31" ht="15.75" customHeight="1">
      <c r="A31" s="26" t="s">
        <v>232</v>
      </c>
      <c r="B31" s="4"/>
      <c r="C31" s="138"/>
      <c r="D31" s="138"/>
      <c r="E31" s="138"/>
      <c r="F31" s="138"/>
    </row>
    <row r="32" ht="15.75" customHeight="1">
      <c r="A32" s="4" t="s">
        <v>233</v>
      </c>
      <c r="B32" s="4"/>
      <c r="C32" s="132">
        <f>'Long Term Loan'!D10</f>
        <v>250</v>
      </c>
      <c r="D32" s="132">
        <f>'Long Term Loan'!E10</f>
        <v>125</v>
      </c>
      <c r="E32" s="132">
        <f>'Long Term Loan'!F10</f>
        <v>0</v>
      </c>
      <c r="F32" s="132">
        <f>'Long Term Loan'!G10</f>
        <v>-125</v>
      </c>
    </row>
    <row r="33" ht="15.75" customHeight="1">
      <c r="A33" s="4" t="s">
        <v>234</v>
      </c>
      <c r="B33" s="4"/>
      <c r="C33" s="84">
        <v>0.0</v>
      </c>
      <c r="D33" s="84">
        <v>0.0</v>
      </c>
      <c r="E33" s="84">
        <v>0.0</v>
      </c>
      <c r="F33" s="84">
        <v>0.0</v>
      </c>
    </row>
    <row r="34" ht="15.75" customHeight="1">
      <c r="A34" s="136" t="s">
        <v>235</v>
      </c>
      <c r="B34" s="4"/>
      <c r="C34" s="146">
        <f t="shared" ref="C34:F34" si="5">+C32+C33</f>
        <v>250</v>
      </c>
      <c r="D34" s="146">
        <f t="shared" si="5"/>
        <v>125</v>
      </c>
      <c r="E34" s="146">
        <f t="shared" si="5"/>
        <v>0</v>
      </c>
      <c r="F34" s="146">
        <f t="shared" si="5"/>
        <v>-125</v>
      </c>
    </row>
    <row r="35" ht="15.75" customHeight="1">
      <c r="A35" s="136" t="s">
        <v>236</v>
      </c>
      <c r="B35" s="4"/>
      <c r="C35" s="148">
        <f t="shared" ref="C35:F35" si="6">+C29+C34</f>
        <v>958.1658738</v>
      </c>
      <c r="D35" s="148">
        <f t="shared" si="6"/>
        <v>1312.552162</v>
      </c>
      <c r="E35" s="148">
        <f t="shared" si="6"/>
        <v>1831.558269</v>
      </c>
      <c r="F35" s="148">
        <f t="shared" si="6"/>
        <v>2575.14699</v>
      </c>
    </row>
    <row r="36" ht="15.75" customHeight="1">
      <c r="A36" s="4"/>
      <c r="B36" s="4"/>
      <c r="C36" s="138"/>
      <c r="D36" s="138"/>
      <c r="E36" s="138"/>
      <c r="F36" s="138"/>
    </row>
    <row r="37" ht="15.75" customHeight="1">
      <c r="A37" s="7" t="s">
        <v>104</v>
      </c>
      <c r="B37" s="4"/>
      <c r="C37" s="138"/>
      <c r="D37" s="138"/>
      <c r="E37" s="138"/>
      <c r="F37" s="138"/>
    </row>
    <row r="38" ht="15.75" customHeight="1">
      <c r="A38" s="4" t="s">
        <v>237</v>
      </c>
      <c r="B38" s="4"/>
      <c r="C38" s="132">
        <f>Equity!D6</f>
        <v>300</v>
      </c>
      <c r="D38" s="132">
        <f>Equity!E6</f>
        <v>400</v>
      </c>
      <c r="E38" s="132">
        <f>Equity!F6</f>
        <v>400</v>
      </c>
      <c r="F38" s="132">
        <f>Equity!G6</f>
        <v>400</v>
      </c>
    </row>
    <row r="39" ht="15.75" customHeight="1">
      <c r="A39" s="4" t="s">
        <v>238</v>
      </c>
      <c r="B39" s="4"/>
      <c r="C39" s="132">
        <f>Equity!D12</f>
        <v>1671.707768</v>
      </c>
      <c r="D39" s="132">
        <f>Equity!E12</f>
        <v>3935.162522</v>
      </c>
      <c r="E39" s="132">
        <f>Equity!F12</f>
        <v>8044.532674</v>
      </c>
      <c r="F39" s="132">
        <f>Equity!G12</f>
        <v>14343.92821</v>
      </c>
    </row>
    <row r="40" ht="15.75" customHeight="1">
      <c r="A40" s="136" t="s">
        <v>239</v>
      </c>
      <c r="B40" s="4"/>
      <c r="C40" s="148">
        <f t="shared" ref="C40:F40" si="7">+C38+C39</f>
        <v>1971.707768</v>
      </c>
      <c r="D40" s="148">
        <f t="shared" si="7"/>
        <v>4335.162522</v>
      </c>
      <c r="E40" s="148">
        <f t="shared" si="7"/>
        <v>8444.532674</v>
      </c>
      <c r="F40" s="148">
        <f t="shared" si="7"/>
        <v>14743.92821</v>
      </c>
    </row>
    <row r="41" ht="15.75" customHeight="1">
      <c r="A41" s="4"/>
      <c r="B41" s="4"/>
      <c r="C41" s="138"/>
      <c r="D41" s="138"/>
      <c r="E41" s="138"/>
      <c r="F41" s="138"/>
    </row>
    <row r="42" ht="15.75" customHeight="1">
      <c r="A42" s="136" t="s">
        <v>240</v>
      </c>
      <c r="B42" s="4"/>
      <c r="C42" s="147">
        <f t="shared" ref="C42:F42" si="8">+C35+C40</f>
        <v>2929.873642</v>
      </c>
      <c r="D42" s="147">
        <f t="shared" si="8"/>
        <v>5647.714684</v>
      </c>
      <c r="E42" s="147">
        <f t="shared" si="8"/>
        <v>10276.09094</v>
      </c>
      <c r="F42" s="147">
        <f t="shared" si="8"/>
        <v>17319.0752</v>
      </c>
    </row>
    <row r="43" ht="15.75" customHeight="1">
      <c r="A43" s="4"/>
      <c r="B43" s="4"/>
      <c r="C43" s="138"/>
      <c r="D43" s="138"/>
      <c r="E43" s="138"/>
      <c r="F43" s="138"/>
    </row>
    <row r="44" ht="15.75" customHeight="1">
      <c r="A44" s="149" t="s">
        <v>241</v>
      </c>
      <c r="B44" s="4"/>
      <c r="C44" s="150">
        <f t="shared" ref="C44:F44" si="9">+C20-C42</f>
        <v>0</v>
      </c>
      <c r="D44" s="150">
        <f t="shared" si="9"/>
        <v>0</v>
      </c>
      <c r="E44" s="150">
        <f t="shared" si="9"/>
        <v>0</v>
      </c>
      <c r="F44" s="150">
        <f t="shared" si="9"/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6" width="12.63"/>
  </cols>
  <sheetData>
    <row r="1">
      <c r="A1" s="7" t="s">
        <v>242</v>
      </c>
      <c r="B1" s="4"/>
      <c r="C1" s="4"/>
      <c r="D1" s="4"/>
      <c r="E1" s="4"/>
      <c r="F1" s="4"/>
      <c r="G1" s="4"/>
    </row>
    <row r="2">
      <c r="A2" s="4"/>
      <c r="B2" s="4"/>
      <c r="C2" s="4"/>
      <c r="D2" s="4"/>
      <c r="E2" s="4"/>
      <c r="F2" s="4"/>
      <c r="G2" s="4"/>
    </row>
    <row r="3">
      <c r="A3" s="4"/>
      <c r="B3" s="4"/>
      <c r="C3" s="6">
        <f>Assumptions!D2</f>
        <v>2026</v>
      </c>
      <c r="D3" s="6">
        <f>Assumptions!E2</f>
        <v>2027</v>
      </c>
      <c r="E3" s="6">
        <f>Assumptions!F2</f>
        <v>2028</v>
      </c>
      <c r="F3" s="6">
        <f>Assumptions!G2</f>
        <v>2029</v>
      </c>
      <c r="G3" s="6">
        <f>Assumptions!H2</f>
        <v>2030</v>
      </c>
    </row>
    <row r="4">
      <c r="A4" s="7" t="s">
        <v>243</v>
      </c>
      <c r="B4" s="4"/>
      <c r="C4" s="4"/>
      <c r="D4" s="4"/>
      <c r="E4" s="4"/>
      <c r="F4" s="4"/>
      <c r="G4" s="4"/>
    </row>
    <row r="5">
      <c r="A5" s="4" t="s">
        <v>186</v>
      </c>
      <c r="B5" s="4"/>
      <c r="C5" s="132">
        <f>'Income Statement'!B18</f>
        <v>590.5593521</v>
      </c>
      <c r="D5" s="132">
        <f>'Income Statement'!C18</f>
        <v>1341.416884</v>
      </c>
      <c r="E5" s="132">
        <f>'Income Statement'!D18</f>
        <v>2829.318442</v>
      </c>
      <c r="F5" s="132">
        <f>'Income Statement'!E18</f>
        <v>5136.71269</v>
      </c>
      <c r="G5" s="132">
        <f>'Income Statement'!F18</f>
        <v>7874.244421</v>
      </c>
    </row>
    <row r="6">
      <c r="A6" s="4" t="s">
        <v>244</v>
      </c>
      <c r="B6" s="4"/>
      <c r="C6" s="132">
        <f>'Income Statement'!B12</f>
        <v>17.6</v>
      </c>
      <c r="D6" s="132">
        <f>'Income Statement'!C12</f>
        <v>17.48</v>
      </c>
      <c r="E6" s="132">
        <f>'Income Statement'!D12</f>
        <v>16.184</v>
      </c>
      <c r="F6" s="132">
        <f>'Income Statement'!E12</f>
        <v>15.1472</v>
      </c>
      <c r="G6" s="132">
        <f>'Income Statement'!F12</f>
        <v>14.31776</v>
      </c>
    </row>
    <row r="7">
      <c r="A7" s="4" t="s">
        <v>245</v>
      </c>
      <c r="B7" s="4"/>
      <c r="C7" s="132">
        <f>'Working Capital'!C9-'Working Capital'!D9</f>
        <v>-362.3097632</v>
      </c>
      <c r="D7" s="132">
        <f>'Working Capital'!D9-'Working Capital'!E9</f>
        <v>-390.2559229</v>
      </c>
      <c r="E7" s="132">
        <f>'Working Capital'!E9-'Working Capital'!F9</f>
        <v>-550.5122943</v>
      </c>
      <c r="F7" s="132">
        <f>'Working Capital'!F9-'Working Capital'!G9</f>
        <v>-937.9397856</v>
      </c>
      <c r="G7" s="132">
        <f>'Working Capital'!G9-'Working Capital'!H9</f>
        <v>-1101.840899</v>
      </c>
    </row>
    <row r="8">
      <c r="A8" s="4" t="s">
        <v>246</v>
      </c>
      <c r="B8" s="4"/>
      <c r="C8" s="132">
        <f>'Working Capital'!C11-'Working Capital'!D11</f>
        <v>-206.7252979</v>
      </c>
      <c r="D8" s="132">
        <f>'Working Capital'!D11-'Working Capital'!E11</f>
        <v>-182.0519512</v>
      </c>
      <c r="E8" s="132">
        <f>'Working Capital'!E11-'Working Capital'!F11</f>
        <v>-294.2919981</v>
      </c>
      <c r="F8" s="132">
        <f>'Working Capital'!F11-'Working Capital'!G11</f>
        <v>-367.1204564</v>
      </c>
      <c r="G8" s="132">
        <f>'Working Capital'!G11-'Working Capital'!H11</f>
        <v>-534.5161365</v>
      </c>
    </row>
    <row r="9">
      <c r="A9" s="4" t="s">
        <v>247</v>
      </c>
      <c r="B9" s="4"/>
      <c r="C9" s="132">
        <f>'Working Capital'!D10-'Working Capital'!C10</f>
        <v>300.6913425</v>
      </c>
      <c r="D9" s="132">
        <f>'Working Capital'!E10-'Working Capital'!D10</f>
        <v>282.4745313</v>
      </c>
      <c r="E9" s="132">
        <f>'Working Capital'!F10-'Working Capital'!E10</f>
        <v>479.3862887</v>
      </c>
      <c r="F9" s="132">
        <f>'Working Capital'!G10-'Working Capital'!F10</f>
        <v>644.0061061</v>
      </c>
      <c r="G9" s="132">
        <f>'Working Capital'!H10-'Working Capital'!G10</f>
        <v>868.5887218</v>
      </c>
    </row>
    <row r="10">
      <c r="A10" s="4" t="s">
        <v>248</v>
      </c>
      <c r="B10" s="4"/>
      <c r="C10" s="84">
        <v>0.0</v>
      </c>
      <c r="D10" s="84">
        <v>0.0</v>
      </c>
      <c r="E10" s="84">
        <v>0.0</v>
      </c>
      <c r="F10" s="84">
        <v>0.0</v>
      </c>
      <c r="G10" s="84">
        <v>0.0</v>
      </c>
    </row>
    <row r="11">
      <c r="A11" s="136" t="s">
        <v>249</v>
      </c>
      <c r="B11" s="4"/>
      <c r="C11" s="146">
        <f t="shared" ref="C11:G11" si="1">SUM(C5:C10)</f>
        <v>339.8156335</v>
      </c>
      <c r="D11" s="146">
        <f t="shared" si="1"/>
        <v>1069.063541</v>
      </c>
      <c r="E11" s="146">
        <f t="shared" si="1"/>
        <v>2480.084438</v>
      </c>
      <c r="F11" s="146">
        <f t="shared" si="1"/>
        <v>4490.805754</v>
      </c>
      <c r="G11" s="146">
        <f t="shared" si="1"/>
        <v>7120.793867</v>
      </c>
    </row>
    <row r="12">
      <c r="A12" s="4"/>
      <c r="B12" s="4"/>
      <c r="C12" s="138"/>
      <c r="D12" s="138"/>
      <c r="E12" s="138"/>
      <c r="F12" s="138"/>
      <c r="G12" s="138"/>
    </row>
    <row r="13">
      <c r="A13" s="7" t="s">
        <v>250</v>
      </c>
      <c r="B13" s="4"/>
      <c r="C13" s="138"/>
      <c r="D13" s="138"/>
      <c r="E13" s="138"/>
      <c r="F13" s="138"/>
      <c r="G13" s="138"/>
    </row>
    <row r="14">
      <c r="A14" s="4" t="str">
        <f>'Fixed Assets'!A41</f>
        <v>Land</v>
      </c>
      <c r="B14" s="4"/>
      <c r="C14" s="132">
        <f>-Assumptions!C131</f>
        <v>-22</v>
      </c>
      <c r="D14" s="132">
        <f>-Assumptions!D131</f>
        <v>0</v>
      </c>
      <c r="E14" s="132">
        <f>-Assumptions!E131</f>
        <v>0</v>
      </c>
      <c r="F14" s="132">
        <f>-Assumptions!F131</f>
        <v>0</v>
      </c>
      <c r="G14" s="132">
        <f>-Assumptions!G131</f>
        <v>0</v>
      </c>
    </row>
    <row r="15">
      <c r="A15" s="4" t="str">
        <f>'Fixed Assets'!A42</f>
        <v>Building</v>
      </c>
      <c r="B15" s="4"/>
      <c r="C15" s="132">
        <f>-Assumptions!C132</f>
        <v>-28</v>
      </c>
      <c r="D15" s="132">
        <f>-Assumptions!D132</f>
        <v>0</v>
      </c>
      <c r="E15" s="132">
        <f>-Assumptions!E132</f>
        <v>0</v>
      </c>
      <c r="F15" s="132">
        <f>-Assumptions!F132</f>
        <v>0</v>
      </c>
      <c r="G15" s="132">
        <f>-Assumptions!G132</f>
        <v>0</v>
      </c>
    </row>
    <row r="16">
      <c r="A16" s="4" t="str">
        <f>'Fixed Assets'!A43</f>
        <v>Machinery</v>
      </c>
      <c r="B16" s="4"/>
      <c r="C16" s="132">
        <f>-Assumptions!C133</f>
        <v>-60</v>
      </c>
      <c r="D16" s="132">
        <f>-Assumptions!D133</f>
        <v>-10</v>
      </c>
      <c r="E16" s="132">
        <f>-Assumptions!E133</f>
        <v>-6</v>
      </c>
      <c r="F16" s="132">
        <f>-Assumptions!F133</f>
        <v>-6</v>
      </c>
      <c r="G16" s="132">
        <f>-Assumptions!G133</f>
        <v>-5</v>
      </c>
    </row>
    <row r="17">
      <c r="A17" s="4" t="str">
        <f>'Fixed Assets'!A44</f>
        <v>Vehicles</v>
      </c>
      <c r="B17" s="4"/>
      <c r="C17" s="132">
        <f>-Assumptions!C134</f>
        <v>-10</v>
      </c>
      <c r="D17" s="132">
        <f>-Assumptions!D134</f>
        <v>-2</v>
      </c>
      <c r="E17" s="132">
        <f>-Assumptions!E134</f>
        <v>-1</v>
      </c>
      <c r="F17" s="132">
        <f>-Assumptions!F134</f>
        <v>-1</v>
      </c>
      <c r="G17" s="132">
        <f>-Assumptions!G134</f>
        <v>-1</v>
      </c>
    </row>
    <row r="18">
      <c r="A18" s="4" t="str">
        <f>'Fixed Assets'!A45</f>
        <v>Retail outlets/Others</v>
      </c>
      <c r="B18" s="4"/>
      <c r="C18" s="132">
        <f>-Assumptions!C135</f>
        <v>-18</v>
      </c>
      <c r="D18" s="132">
        <f>-Assumptions!D135</f>
        <v>-5</v>
      </c>
      <c r="E18" s="132">
        <f>-Assumptions!E135</f>
        <v>-4</v>
      </c>
      <c r="F18" s="132">
        <f>-Assumptions!F135</f>
        <v>-4</v>
      </c>
      <c r="G18" s="132">
        <f>-Assumptions!G135</f>
        <v>-5</v>
      </c>
    </row>
    <row r="19">
      <c r="A19" s="4" t="s">
        <v>251</v>
      </c>
      <c r="B19" s="4"/>
      <c r="C19" s="84">
        <v>0.0</v>
      </c>
      <c r="D19" s="84">
        <v>0.0</v>
      </c>
      <c r="E19" s="84">
        <v>0.0</v>
      </c>
      <c r="F19" s="84">
        <v>0.0</v>
      </c>
      <c r="G19" s="84">
        <v>0.0</v>
      </c>
    </row>
    <row r="20">
      <c r="A20" s="136" t="s">
        <v>252</v>
      </c>
      <c r="B20" s="4"/>
      <c r="C20" s="146">
        <f t="shared" ref="C20:G20" si="2">SUM(C14:C19)</f>
        <v>-138</v>
      </c>
      <c r="D20" s="146">
        <f t="shared" si="2"/>
        <v>-17</v>
      </c>
      <c r="E20" s="146">
        <f t="shared" si="2"/>
        <v>-11</v>
      </c>
      <c r="F20" s="146">
        <f t="shared" si="2"/>
        <v>-11</v>
      </c>
      <c r="G20" s="146">
        <f t="shared" si="2"/>
        <v>-11</v>
      </c>
    </row>
    <row r="21" ht="15.75" customHeight="1">
      <c r="A21" s="4"/>
      <c r="B21" s="4"/>
      <c r="C21" s="138"/>
      <c r="D21" s="138"/>
      <c r="E21" s="138"/>
      <c r="F21" s="138"/>
      <c r="G21" s="138"/>
    </row>
    <row r="22" ht="15.75" customHeight="1">
      <c r="A22" s="7" t="s">
        <v>253</v>
      </c>
      <c r="B22" s="4"/>
      <c r="C22" s="138"/>
      <c r="D22" s="138"/>
      <c r="E22" s="138"/>
      <c r="F22" s="138"/>
      <c r="G22" s="138"/>
    </row>
    <row r="23" ht="15.75" customHeight="1">
      <c r="A23" s="4" t="s">
        <v>254</v>
      </c>
      <c r="B23" s="4"/>
      <c r="C23" s="132">
        <f>Assumptions!C143-Assumptions!C144</f>
        <v>100</v>
      </c>
      <c r="D23" s="132">
        <f>Assumptions!D143-Assumptions!D144</f>
        <v>200</v>
      </c>
      <c r="E23" s="132">
        <f>Assumptions!E143-Assumptions!E144</f>
        <v>100</v>
      </c>
      <c r="F23" s="132">
        <f>Assumptions!F143-Assumptions!F144</f>
        <v>0</v>
      </c>
      <c r="G23" s="132">
        <f>Assumptions!G143-Assumptions!G144</f>
        <v>0</v>
      </c>
    </row>
    <row r="24" ht="15.75" customHeight="1">
      <c r="A24" s="4" t="s">
        <v>255</v>
      </c>
      <c r="B24" s="4"/>
      <c r="C24" s="132">
        <f>'Long Term Loan'!C5-'Long Term Loan'!C6</f>
        <v>500</v>
      </c>
      <c r="D24" s="132">
        <f>'Long Term Loan'!D5-'Long Term Loan'!D6</f>
        <v>-125</v>
      </c>
      <c r="E24" s="132">
        <f>'Long Term Loan'!E5-'Long Term Loan'!E6</f>
        <v>-125</v>
      </c>
      <c r="F24" s="132">
        <f>'Long Term Loan'!F5-'Long Term Loan'!F6</f>
        <v>-125</v>
      </c>
      <c r="G24" s="132">
        <f>'Long Term Loan'!G5-'Long Term Loan'!G6</f>
        <v>-125</v>
      </c>
    </row>
    <row r="25" ht="15.75" customHeight="1">
      <c r="A25" s="4" t="s">
        <v>256</v>
      </c>
      <c r="B25" s="4"/>
      <c r="C25" s="139">
        <f>'Short Term Loan'!C6</f>
        <v>0</v>
      </c>
      <c r="D25" s="139">
        <f>'Short Term Loan'!D6</f>
        <v>0</v>
      </c>
      <c r="E25" s="139">
        <f>'Short Term Loan'!E6</f>
        <v>0</v>
      </c>
      <c r="F25" s="139">
        <f>'Short Term Loan'!F6</f>
        <v>0</v>
      </c>
      <c r="G25" s="139">
        <f>'Short Term Loan'!G6</f>
        <v>0</v>
      </c>
    </row>
    <row r="26" ht="15.75" customHeight="1">
      <c r="A26" s="4" t="s">
        <v>187</v>
      </c>
      <c r="B26" s="4"/>
      <c r="C26" s="139">
        <f>-Equity!C11</f>
        <v>-59.05593521</v>
      </c>
      <c r="D26" s="139">
        <f>-Equity!D11</f>
        <v>-201.2125326</v>
      </c>
      <c r="E26" s="139">
        <f>-Equity!E11</f>
        <v>-565.8636884</v>
      </c>
      <c r="F26" s="139">
        <f>-Equity!F11</f>
        <v>-1027.342538</v>
      </c>
      <c r="G26" s="139">
        <f>-Equity!G11</f>
        <v>-1574.848884</v>
      </c>
    </row>
    <row r="27" ht="15.75" customHeight="1">
      <c r="A27" s="4" t="s">
        <v>257</v>
      </c>
      <c r="B27" s="4"/>
      <c r="C27" s="84">
        <v>0.0</v>
      </c>
      <c r="D27" s="84">
        <v>0.0</v>
      </c>
      <c r="E27" s="84">
        <v>0.0</v>
      </c>
      <c r="F27" s="84">
        <v>0.0</v>
      </c>
      <c r="G27" s="84">
        <v>0.0</v>
      </c>
    </row>
    <row r="28" ht="15.75" customHeight="1">
      <c r="A28" s="136" t="s">
        <v>258</v>
      </c>
      <c r="B28" s="4"/>
      <c r="C28" s="146">
        <f t="shared" ref="C28:G28" si="3">+SUM(C23:C27)</f>
        <v>540.9440648</v>
      </c>
      <c r="D28" s="146">
        <f t="shared" si="3"/>
        <v>-126.2125326</v>
      </c>
      <c r="E28" s="146">
        <f t="shared" si="3"/>
        <v>-590.8636884</v>
      </c>
      <c r="F28" s="146">
        <f t="shared" si="3"/>
        <v>-1152.342538</v>
      </c>
      <c r="G28" s="146">
        <f t="shared" si="3"/>
        <v>-1699.848884</v>
      </c>
    </row>
    <row r="29" ht="15.75" customHeight="1">
      <c r="A29" s="4"/>
      <c r="B29" s="4"/>
      <c r="C29" s="138"/>
      <c r="D29" s="138"/>
      <c r="E29" s="138"/>
      <c r="F29" s="138"/>
      <c r="G29" s="138"/>
    </row>
    <row r="30" ht="15.75" customHeight="1">
      <c r="A30" s="4" t="s">
        <v>259</v>
      </c>
      <c r="B30" s="4"/>
      <c r="C30" s="132">
        <f t="shared" ref="C30:G30" si="4">+C11+C20+C28</f>
        <v>742.7596983</v>
      </c>
      <c r="D30" s="132">
        <f t="shared" si="4"/>
        <v>925.8510086</v>
      </c>
      <c r="E30" s="132">
        <f t="shared" si="4"/>
        <v>1878.22075</v>
      </c>
      <c r="F30" s="132">
        <f t="shared" si="4"/>
        <v>3327.463216</v>
      </c>
      <c r="G30" s="132">
        <f t="shared" si="4"/>
        <v>5409.944983</v>
      </c>
    </row>
    <row r="31" ht="15.75" customHeight="1">
      <c r="A31" s="4" t="s">
        <v>260</v>
      </c>
      <c r="B31" s="4"/>
      <c r="C31" s="84">
        <v>0.0</v>
      </c>
      <c r="D31" s="132">
        <f t="shared" ref="D31:G31" si="5">+C32</f>
        <v>742.7596983</v>
      </c>
      <c r="E31" s="132">
        <f t="shared" si="5"/>
        <v>1668.610707</v>
      </c>
      <c r="F31" s="132">
        <f t="shared" si="5"/>
        <v>3546.831457</v>
      </c>
      <c r="G31" s="132">
        <f t="shared" si="5"/>
        <v>6874.294673</v>
      </c>
    </row>
    <row r="32" ht="15.75" customHeight="1">
      <c r="A32" s="136" t="s">
        <v>261</v>
      </c>
      <c r="B32" s="4"/>
      <c r="C32" s="148">
        <f t="shared" ref="C32:G32" si="6">+C30+C31</f>
        <v>742.7596983</v>
      </c>
      <c r="D32" s="148">
        <f t="shared" si="6"/>
        <v>1668.610707</v>
      </c>
      <c r="E32" s="148">
        <f t="shared" si="6"/>
        <v>3546.831457</v>
      </c>
      <c r="F32" s="148">
        <f t="shared" si="6"/>
        <v>6874.294673</v>
      </c>
      <c r="G32" s="148">
        <f t="shared" si="6"/>
        <v>12284.23966</v>
      </c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7" t="s">
        <v>262</v>
      </c>
      <c r="B1" s="4"/>
      <c r="C1" s="4"/>
      <c r="D1" s="4"/>
      <c r="E1" s="4"/>
      <c r="F1" s="4"/>
      <c r="G1" s="4"/>
    </row>
    <row r="2">
      <c r="A2" s="4"/>
      <c r="B2" s="4"/>
      <c r="C2" s="6">
        <f>'Cash Flow Statement'!C3</f>
        <v>2026</v>
      </c>
      <c r="D2" s="6">
        <f>'Cash Flow Statement'!D3</f>
        <v>2027</v>
      </c>
      <c r="E2" s="6">
        <f>'Cash Flow Statement'!E3</f>
        <v>2028</v>
      </c>
      <c r="F2" s="6">
        <f>'Cash Flow Statement'!F3</f>
        <v>2029</v>
      </c>
      <c r="G2" s="6">
        <f>'Cash Flow Statement'!G3</f>
        <v>2030</v>
      </c>
    </row>
    <row r="3">
      <c r="A3" s="4"/>
      <c r="B3" s="4"/>
      <c r="C3" s="4"/>
      <c r="D3" s="4"/>
      <c r="E3" s="4"/>
      <c r="F3" s="4"/>
      <c r="G3" s="4"/>
    </row>
    <row r="4">
      <c r="A4" s="4" t="s">
        <v>186</v>
      </c>
      <c r="B4" s="4"/>
      <c r="C4" s="132">
        <f>'Income Statement'!B18</f>
        <v>590.5593521</v>
      </c>
      <c r="D4" s="132">
        <f>'Income Statement'!C18</f>
        <v>1341.416884</v>
      </c>
      <c r="E4" s="132">
        <f>'Income Statement'!D18</f>
        <v>2829.318442</v>
      </c>
      <c r="F4" s="132">
        <f>'Income Statement'!E18</f>
        <v>5136.71269</v>
      </c>
      <c r="G4" s="132">
        <f>'Income Statement'!F18</f>
        <v>7874.244421</v>
      </c>
    </row>
    <row r="5">
      <c r="A5" s="4" t="s">
        <v>193</v>
      </c>
      <c r="B5" s="4"/>
      <c r="C5" s="151">
        <f>+'Income Statement'!B15</f>
        <v>37.5</v>
      </c>
      <c r="D5" s="151">
        <f>+'Income Statement'!C15</f>
        <v>63.4375</v>
      </c>
      <c r="E5" s="151">
        <f>+'Income Statement'!D15</f>
        <v>43.75</v>
      </c>
      <c r="F5" s="151">
        <f>+'Income Statement'!E15</f>
        <v>25.3125</v>
      </c>
      <c r="G5" s="151">
        <f>+'Income Statement'!F15</f>
        <v>8.125</v>
      </c>
    </row>
    <row r="6">
      <c r="A6" s="4" t="s">
        <v>263</v>
      </c>
      <c r="B6" s="4"/>
      <c r="C6" s="151">
        <f>'Income Statement'!B12</f>
        <v>17.6</v>
      </c>
      <c r="D6" s="151">
        <f>'Income Statement'!C12</f>
        <v>17.48</v>
      </c>
      <c r="E6" s="151">
        <f>'Income Statement'!D12</f>
        <v>16.184</v>
      </c>
      <c r="F6" s="151">
        <f>'Income Statement'!E12</f>
        <v>15.1472</v>
      </c>
      <c r="G6" s="151">
        <f>'Income Statement'!F12</f>
        <v>14.31776</v>
      </c>
    </row>
    <row r="7">
      <c r="A7" s="4" t="s">
        <v>264</v>
      </c>
      <c r="B7" s="4"/>
      <c r="C7" s="151">
        <f>+'Cash Flow Statement'!C7+'Cash Flow Statement'!C8+'Cash Flow Statement'!C9</f>
        <v>-268.3437187</v>
      </c>
      <c r="D7" s="151">
        <f>+'Cash Flow Statement'!D7+'Cash Flow Statement'!D8+'Cash Flow Statement'!D9</f>
        <v>-289.8333428</v>
      </c>
      <c r="E7" s="151">
        <f>+'Cash Flow Statement'!E7+'Cash Flow Statement'!E8+'Cash Flow Statement'!E9</f>
        <v>-365.4180037</v>
      </c>
      <c r="F7" s="151">
        <f>+'Cash Flow Statement'!F7+'Cash Flow Statement'!F8+'Cash Flow Statement'!F9</f>
        <v>-661.054136</v>
      </c>
      <c r="G7" s="151">
        <f>+'Cash Flow Statement'!G7+'Cash Flow Statement'!G8+'Cash Flow Statement'!G9</f>
        <v>-767.7683139</v>
      </c>
    </row>
    <row r="8">
      <c r="A8" s="4" t="s">
        <v>94</v>
      </c>
      <c r="B8" s="4"/>
      <c r="C8" s="151">
        <f>'Cash Flow Statement'!C20</f>
        <v>-138</v>
      </c>
      <c r="D8" s="151">
        <f>'Cash Flow Statement'!D20</f>
        <v>-17</v>
      </c>
      <c r="E8" s="151">
        <f>'Cash Flow Statement'!E20</f>
        <v>-11</v>
      </c>
      <c r="F8" s="151">
        <f>'Cash Flow Statement'!F20</f>
        <v>-11</v>
      </c>
      <c r="G8" s="151">
        <f>'Cash Flow Statement'!G20</f>
        <v>-11</v>
      </c>
    </row>
    <row r="9">
      <c r="A9" s="136" t="s">
        <v>265</v>
      </c>
      <c r="B9" s="4"/>
      <c r="C9" s="152">
        <f t="shared" ref="C9:G9" si="1">SUM(C4:C8)</f>
        <v>239.3156335</v>
      </c>
      <c r="D9" s="152">
        <f t="shared" si="1"/>
        <v>1115.501041</v>
      </c>
      <c r="E9" s="152">
        <f t="shared" si="1"/>
        <v>2512.834438</v>
      </c>
      <c r="F9" s="152">
        <f t="shared" si="1"/>
        <v>4505.118254</v>
      </c>
      <c r="G9" s="152">
        <f t="shared" si="1"/>
        <v>7117.918867</v>
      </c>
    </row>
    <row r="10">
      <c r="A10" s="4" t="s">
        <v>266</v>
      </c>
      <c r="B10" s="4"/>
      <c r="C10" s="153"/>
      <c r="D10" s="153"/>
      <c r="E10" s="153"/>
      <c r="F10" s="153"/>
      <c r="G10" s="151" t="str">
        <f>G9*(1+Assumptions!B158)/(Assumptions!B157-Assumptions!B158)</f>
        <v>#REF!</v>
      </c>
    </row>
    <row r="11">
      <c r="A11" s="4" t="s">
        <v>267</v>
      </c>
      <c r="B11" s="4"/>
      <c r="C11" s="154">
        <f t="shared" ref="C11:G11" si="2">+C9+C10</f>
        <v>239.3156335</v>
      </c>
      <c r="D11" s="154">
        <f t="shared" si="2"/>
        <v>1115.501041</v>
      </c>
      <c r="E11" s="154">
        <f t="shared" si="2"/>
        <v>2512.834438</v>
      </c>
      <c r="F11" s="154">
        <f t="shared" si="2"/>
        <v>4505.118254</v>
      </c>
      <c r="G11" s="154" t="str">
        <f t="shared" si="2"/>
        <v>#REF!</v>
      </c>
    </row>
    <row r="12">
      <c r="A12" s="4"/>
      <c r="B12" s="4"/>
      <c r="C12" s="4"/>
      <c r="D12" s="4"/>
      <c r="E12" s="4"/>
      <c r="F12" s="4"/>
      <c r="G12" s="4"/>
    </row>
    <row r="13">
      <c r="A13" s="4" t="s">
        <v>268</v>
      </c>
      <c r="B13" s="151" t="str">
        <f t="array" ref="B13">NPV(Assumptions!B158,Valuation!C11:G11)</f>
        <v>#REF!</v>
      </c>
      <c r="C13" s="4"/>
      <c r="D13" s="4"/>
      <c r="E13" s="4"/>
      <c r="F13" s="4"/>
      <c r="G13" s="4"/>
    </row>
    <row r="14">
      <c r="A14" s="4" t="s">
        <v>269</v>
      </c>
      <c r="B14" s="151" t="str">
        <f>+B13/Assumptions!D7</f>
        <v>#REF!</v>
      </c>
      <c r="C14" s="4"/>
      <c r="D14" s="4"/>
      <c r="E14" s="4"/>
      <c r="F14" s="4"/>
      <c r="G14" s="4"/>
    </row>
    <row r="15">
      <c r="A15" s="4"/>
      <c r="B15" s="155">
        <v>5.0</v>
      </c>
      <c r="C15" s="4"/>
      <c r="D15" s="4"/>
      <c r="E15" s="4"/>
      <c r="F15" s="4"/>
      <c r="G15" s="4"/>
    </row>
    <row r="16">
      <c r="A16" s="4"/>
      <c r="B16" s="90" t="str">
        <f>+B15/B14</f>
        <v>#REF!</v>
      </c>
      <c r="C16" s="4"/>
      <c r="D16" s="4"/>
      <c r="E16" s="4"/>
      <c r="F16" s="4"/>
      <c r="G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">
      <c r="D2" s="44">
        <f>'Cash Flow Statement'!C3</f>
        <v>2026</v>
      </c>
      <c r="E2" s="44">
        <f>'Cash Flow Statement'!D3</f>
        <v>2027</v>
      </c>
      <c r="F2" s="44">
        <f>'Cash Flow Statement'!E3</f>
        <v>2028</v>
      </c>
      <c r="G2" s="44">
        <f>'Cash Flow Statement'!F3</f>
        <v>2029</v>
      </c>
      <c r="H2" s="44">
        <f>'Cash Flow Statement'!G3</f>
        <v>2030</v>
      </c>
    </row>
    <row r="3">
      <c r="A3" s="156" t="s">
        <v>270</v>
      </c>
      <c r="B3" s="157"/>
      <c r="C3" s="158"/>
      <c r="D3" s="159"/>
      <c r="E3" s="159"/>
      <c r="F3" s="159"/>
      <c r="G3" s="159"/>
      <c r="H3" s="159"/>
    </row>
    <row r="4">
      <c r="A4" s="160" t="s">
        <v>271</v>
      </c>
      <c r="B4" s="157"/>
      <c r="C4" s="158"/>
      <c r="D4" s="161">
        <f>'Income Statement'!B8/'Income Statement'!B6</f>
        <v>0.5331649949</v>
      </c>
      <c r="E4" s="161">
        <f>'Income Statement'!C8/'Income Statement'!C6</f>
        <v>0.5350578285</v>
      </c>
      <c r="F4" s="161">
        <f>'Income Statement'!D8/'Income Statement'!D6</f>
        <v>0.5340473299</v>
      </c>
      <c r="G4" s="161">
        <f>'Income Statement'!E8/'Income Statement'!E6</f>
        <v>0.5313782337</v>
      </c>
      <c r="H4" s="161">
        <f>'Income Statement'!F8/'Income Statement'!F6</f>
        <v>0.5259429133</v>
      </c>
    </row>
    <row r="5">
      <c r="A5" s="160" t="s">
        <v>272</v>
      </c>
      <c r="B5" s="157"/>
      <c r="C5" s="158"/>
      <c r="D5" s="161">
        <f>'Income Statement'!B14/'Income Statement'!B6</f>
        <v>0.2957986381</v>
      </c>
      <c r="E5" s="161">
        <f>'Income Statement'!C14/'Income Statement'!C6</f>
        <v>0.3199067859</v>
      </c>
      <c r="F5" s="161">
        <f>'Income Statement'!D14/'Income Statement'!D6</f>
        <v>0.3388147026</v>
      </c>
      <c r="G5" s="161">
        <f>'Income Statement'!E14/'Income Statement'!E6</f>
        <v>0.3550304255</v>
      </c>
      <c r="H5" s="161">
        <f>'Income Statement'!F14/'Income Statement'!F6</f>
        <v>0.3638460851</v>
      </c>
    </row>
    <row r="6">
      <c r="A6" s="160" t="s">
        <v>273</v>
      </c>
      <c r="B6" s="157"/>
      <c r="C6" s="158"/>
      <c r="D6" s="161">
        <f>'Income Statement'!B18/'Income Statement'!B6</f>
        <v>0.2009570115</v>
      </c>
      <c r="E6" s="161">
        <f>'Income Statement'!C18/'Income Statement'!C6</f>
        <v>0.2197551215</v>
      </c>
      <c r="F6" s="161">
        <f>'Income Statement'!D18/'Income Statement'!D6</f>
        <v>0.2379460782</v>
      </c>
      <c r="G6" s="161">
        <f>'Income Statement'!E18/'Income Statement'!E6</f>
        <v>0.2511927512</v>
      </c>
      <c r="H6" s="161">
        <f>'Income Statement'!F18/'Income Statement'!F6</f>
        <v>0.2581416033</v>
      </c>
    </row>
    <row r="7">
      <c r="A7" s="160" t="s">
        <v>274</v>
      </c>
      <c r="B7" s="157"/>
      <c r="C7" s="158"/>
      <c r="D7" s="161" t="str">
        <f t="shared" ref="D7:D11" si="1">#REF!/#REF!</f>
        <v>#REF!</v>
      </c>
      <c r="E7" s="161">
        <f>'Balance Sheet'!C10/'Balance Sheet'!C20</f>
        <v>0.9590699072</v>
      </c>
      <c r="F7" s="161">
        <f>'Balance Sheet'!D10/'Balance Sheet'!D20</f>
        <v>0.9796845261</v>
      </c>
      <c r="G7" s="161">
        <f>'Balance Sheet'!E10/'Balance Sheet'!E20</f>
        <v>0.9892382424</v>
      </c>
      <c r="H7" s="161">
        <f>'Balance Sheet'!F10/'Balance Sheet'!F20</f>
        <v>0.9938061912</v>
      </c>
    </row>
    <row r="8">
      <c r="A8" s="160" t="s">
        <v>275</v>
      </c>
      <c r="B8" s="157"/>
      <c r="C8" s="158"/>
      <c r="D8" s="161" t="str">
        <f t="shared" si="1"/>
        <v>#REF!</v>
      </c>
      <c r="E8" s="161">
        <f>'Balance Sheet'!C$6/'Balance Sheet'!C$20</f>
        <v>0.5695162695</v>
      </c>
      <c r="F8" s="161">
        <f>'Balance Sheet'!D$6/'Balance Sheet'!D$20</f>
        <v>0.6280117986</v>
      </c>
      <c r="G8" s="161">
        <f>'Balance Sheet'!E$6/'Balance Sheet'!E$20</f>
        <v>0.6689600852</v>
      </c>
      <c r="H8" s="161">
        <f>'Balance Sheet'!F$6/'Balance Sheet'!F$20</f>
        <v>0.7092895846</v>
      </c>
    </row>
    <row r="9">
      <c r="A9" s="160" t="s">
        <v>276</v>
      </c>
      <c r="B9" s="157"/>
      <c r="C9" s="158"/>
      <c r="D9" s="162" t="str">
        <f t="shared" si="1"/>
        <v>#REF!</v>
      </c>
      <c r="E9" s="162">
        <f>'Balance Sheet'!C26/'Balance Sheet'!C20</f>
        <v>0</v>
      </c>
      <c r="F9" s="162">
        <f>'Balance Sheet'!D26/'Balance Sheet'!D20</f>
        <v>0</v>
      </c>
      <c r="G9" s="162">
        <f>'Balance Sheet'!E26/'Balance Sheet'!E20</f>
        <v>0</v>
      </c>
      <c r="H9" s="162">
        <f>'Balance Sheet'!F26/'Balance Sheet'!F20</f>
        <v>0</v>
      </c>
    </row>
    <row r="10">
      <c r="A10" s="160" t="s">
        <v>277</v>
      </c>
      <c r="B10" s="157"/>
      <c r="C10" s="158"/>
      <c r="D10" s="161" t="str">
        <f t="shared" si="1"/>
        <v>#REF!</v>
      </c>
      <c r="E10" s="161">
        <f>'Balance Sheet'!C32/'Balance Sheet'!C20</f>
        <v>0.0853279119</v>
      </c>
      <c r="F10" s="161">
        <f>'Balance Sheet'!D32/'Balance Sheet'!D20</f>
        <v>0.02213284611</v>
      </c>
      <c r="G10" s="161">
        <f>'Balance Sheet'!E32/'Balance Sheet'!E20</f>
        <v>0</v>
      </c>
      <c r="H10" s="161">
        <f>'Balance Sheet'!F32/'Balance Sheet'!F20</f>
        <v>-0.007217475445</v>
      </c>
    </row>
    <row r="11">
      <c r="A11" s="160" t="s">
        <v>278</v>
      </c>
      <c r="B11" s="157"/>
      <c r="C11" s="158"/>
      <c r="D11" s="161" t="str">
        <f t="shared" si="1"/>
        <v>#REF!</v>
      </c>
      <c r="E11" s="161">
        <f>'Balance Sheet'!C40/'Balance Sheet'!C20</f>
        <v>0.672966827</v>
      </c>
      <c r="F11" s="161">
        <f>'Balance Sheet'!D40/'Balance Sheet'!D20</f>
        <v>0.7675958798</v>
      </c>
      <c r="G11" s="161">
        <f>'Balance Sheet'!E40/'Balance Sheet'!E20</f>
        <v>0.8217650779</v>
      </c>
      <c r="H11" s="161">
        <f>'Balance Sheet'!F40/'Balance Sheet'!F20</f>
        <v>0.8513115186</v>
      </c>
    </row>
    <row r="12">
      <c r="A12" s="67"/>
    </row>
    <row r="14">
      <c r="A14" s="156" t="s">
        <v>279</v>
      </c>
      <c r="B14" s="157"/>
      <c r="C14" s="158"/>
      <c r="D14" s="159"/>
      <c r="E14" s="159"/>
      <c r="F14" s="159"/>
      <c r="G14" s="159"/>
      <c r="H14" s="159"/>
    </row>
    <row r="15">
      <c r="A15" s="163" t="s">
        <v>280</v>
      </c>
      <c r="B15" s="157"/>
      <c r="C15" s="158"/>
      <c r="D15" s="159"/>
      <c r="E15" s="164">
        <f>(('Income Statement'!C4)-'Income Statement'!B4)/'Income Statement'!B4</f>
        <v>1.077133333</v>
      </c>
      <c r="F15" s="164">
        <f>(('Income Statement'!D4)-'Income Statement'!C4)/'Income Statement'!C4</f>
        <v>0.9479531887</v>
      </c>
      <c r="G15" s="164">
        <f>(('Income Statement'!E4)-'Income Statement'!D4)/'Income Statement'!D4</f>
        <v>0.7197879174</v>
      </c>
      <c r="H15" s="164">
        <f>(('Income Statement'!F4)-'Income Statement'!E4)/'Income Statement'!E4</f>
        <v>0.4916698635</v>
      </c>
    </row>
    <row r="16">
      <c r="A16" s="163" t="s">
        <v>186</v>
      </c>
      <c r="B16" s="157"/>
      <c r="C16" s="158"/>
      <c r="D16" s="159"/>
      <c r="E16" s="164">
        <f>(('Income Statement'!C18)-'Income Statement'!B18)/'Income Statement'!B18</f>
        <v>1.271434495</v>
      </c>
      <c r="F16" s="164">
        <f>(('Income Statement'!D18)-'Income Statement'!C18)/'Income Statement'!C18</f>
        <v>1.109201454</v>
      </c>
      <c r="G16" s="164">
        <f>(('Income Statement'!E18)-'Income Statement'!D18)/'Income Statement'!D18</f>
        <v>0.8155300632</v>
      </c>
      <c r="H16" s="164">
        <f>(('Income Statement'!F18)-'Income Statement'!E18)/'Income Statement'!E18</f>
        <v>0.5329345626</v>
      </c>
    </row>
    <row r="17">
      <c r="A17" s="163" t="s">
        <v>281</v>
      </c>
      <c r="B17" s="157"/>
      <c r="C17" s="158"/>
      <c r="D17" s="159"/>
      <c r="E17" s="164" t="str">
        <f>(('Balance Sheet'!C10)-#REF!)/#REF!</f>
        <v>#REF!</v>
      </c>
      <c r="F17" s="164">
        <f>(('Balance Sheet'!D10)-'Balance Sheet'!C10)/'Balance Sheet'!C10</f>
        <v>0.9690640449</v>
      </c>
      <c r="G17" s="164">
        <f>(('Balance Sheet'!E10)-'Balance Sheet'!D10)/'Balance Sheet'!D10</f>
        <v>0.8372566971</v>
      </c>
      <c r="H17" s="164">
        <f>(('Balance Sheet'!F10)-'Balance Sheet'!E10)/'Balance Sheet'!E10</f>
        <v>0.6931582837</v>
      </c>
    </row>
    <row r="18">
      <c r="A18" s="163" t="s">
        <v>219</v>
      </c>
      <c r="B18" s="157"/>
      <c r="C18" s="158"/>
      <c r="D18" s="159"/>
      <c r="E18" s="164" t="str">
        <f>(('Balance Sheet'!C8)-#REF!)/#REF!</f>
        <v>#REF!</v>
      </c>
      <c r="F18" s="164">
        <f>(('Balance Sheet'!D8)-'Balance Sheet'!C8)/'Balance Sheet'!C8</f>
        <v>0.7569681578</v>
      </c>
      <c r="G18" s="164">
        <f>(('Balance Sheet'!E8)-'Balance Sheet'!D8)/'Balance Sheet'!D8</f>
        <v>0.5374571581</v>
      </c>
      <c r="H18" s="164">
        <f>(('Balance Sheet'!F8)-'Balance Sheet'!E8)/'Balance Sheet'!E8</f>
        <v>0.5089710312</v>
      </c>
    </row>
    <row r="19">
      <c r="A19" s="163" t="s">
        <v>282</v>
      </c>
      <c r="B19" s="157"/>
      <c r="C19" s="158"/>
      <c r="D19" s="159"/>
      <c r="E19" s="164" t="str">
        <f>(('Balance Sheet'!C7)-#REF!)/#REF!</f>
        <v>#REF!</v>
      </c>
      <c r="F19" s="164">
        <f>(('Balance Sheet'!D7)-'Balance Sheet'!C7)/'Balance Sheet'!C7</f>
        <v>0.7315139455</v>
      </c>
      <c r="G19" s="164">
        <f>(('Balance Sheet'!E7)-'Balance Sheet'!D7)/'Balance Sheet'!D7</f>
        <v>0.7197879174</v>
      </c>
      <c r="H19" s="164">
        <f>(('Balance Sheet'!F7)-'Balance Sheet'!E7)/'Balance Sheet'!E7</f>
        <v>0.4916698635</v>
      </c>
    </row>
    <row r="20">
      <c r="A20" s="163" t="s">
        <v>283</v>
      </c>
      <c r="B20" s="157"/>
      <c r="C20" s="158"/>
      <c r="D20" s="159"/>
      <c r="E20" s="164" t="str">
        <f>(('Balance Sheet'!C25)-#REF!)/#REF!</f>
        <v>#REF!</v>
      </c>
      <c r="F20" s="164">
        <f>(('Balance Sheet'!D25)-'Balance Sheet'!C25)/'Balance Sheet'!C25</f>
        <v>0.8220410526</v>
      </c>
      <c r="G20" s="164">
        <f>(('Balance Sheet'!E25)-'Balance Sheet'!D25)/'Balance Sheet'!D25</f>
        <v>0.6060936384</v>
      </c>
      <c r="H20" s="164">
        <f>(('Balance Sheet'!F25)-'Balance Sheet'!E25)/'Balance Sheet'!E25</f>
        <v>0.5089710312</v>
      </c>
    </row>
    <row r="21" ht="15.75" customHeight="1">
      <c r="A21" s="163" t="s">
        <v>284</v>
      </c>
      <c r="B21" s="157"/>
      <c r="C21" s="158"/>
      <c r="D21" s="159"/>
      <c r="E21" s="164"/>
      <c r="F21" s="159"/>
      <c r="G21" s="159"/>
      <c r="H21" s="159"/>
    </row>
    <row r="22" ht="15.75" customHeight="1">
      <c r="A22" s="163" t="s">
        <v>285</v>
      </c>
      <c r="B22" s="157"/>
      <c r="C22" s="158"/>
      <c r="D22" s="159"/>
      <c r="E22" s="164">
        <f>IFERROR(('Balance Sheet'!C32-#REF!)/#REF!,0)</f>
        <v>0</v>
      </c>
      <c r="F22" s="164">
        <f>IFERROR(('Balance Sheet'!D32-'Balance Sheet'!C32)/'Balance Sheet'!C32,0)</f>
        <v>-0.5</v>
      </c>
      <c r="G22" s="164">
        <f>IFERROR(('Balance Sheet'!E32-'Balance Sheet'!D32)/'Balance Sheet'!D32,0)</f>
        <v>-1</v>
      </c>
      <c r="H22" s="164">
        <f>IFERROR(('Balance Sheet'!F32-'Balance Sheet'!E32)/'Balance Sheet'!E32,0)</f>
        <v>0</v>
      </c>
    </row>
    <row r="23" ht="15.75" customHeight="1">
      <c r="A23" s="165" t="s">
        <v>104</v>
      </c>
      <c r="B23" s="157"/>
      <c r="C23" s="158"/>
      <c r="D23" s="159"/>
      <c r="E23" s="164" t="str">
        <f>(('Balance Sheet'!C40)-#REF!)/#REF!</f>
        <v>#REF!</v>
      </c>
      <c r="F23" s="164">
        <f>(('Balance Sheet'!D40)-'Balance Sheet'!C40)/'Balance Sheet'!C40</f>
        <v>1.198684101</v>
      </c>
      <c r="G23" s="164">
        <f>(('Balance Sheet'!E40)-'Balance Sheet'!D40)/'Balance Sheet'!D40</f>
        <v>0.9479160542</v>
      </c>
      <c r="H23" s="164">
        <f>(('Balance Sheet'!F40)-'Balance Sheet'!E40)/'Balance Sheet'!E40</f>
        <v>0.7459732563</v>
      </c>
    </row>
    <row r="24" ht="15.75" customHeight="1">
      <c r="A24" s="55"/>
    </row>
    <row r="25" ht="15.75" customHeight="1"/>
    <row r="26" ht="15.75" customHeight="1"/>
    <row r="27" ht="15.75" customHeight="1">
      <c r="A27" s="156" t="s">
        <v>286</v>
      </c>
      <c r="B27" s="157"/>
      <c r="C27" s="158"/>
      <c r="D27" s="159"/>
      <c r="E27" s="159"/>
      <c r="F27" s="159"/>
      <c r="G27" s="159"/>
      <c r="H27" s="159"/>
    </row>
    <row r="28" ht="15.75" customHeight="1">
      <c r="A28" s="163" t="s">
        <v>287</v>
      </c>
      <c r="B28" s="157"/>
      <c r="C28" s="158"/>
      <c r="D28" s="166" t="str">
        <f>#REF!/#REF!</f>
        <v>#REF!</v>
      </c>
      <c r="E28" s="166">
        <f>'Balance Sheet'!C10/'Balance Sheet'!C29</f>
        <v>3.96793145</v>
      </c>
      <c r="F28" s="166">
        <f>'Balance Sheet'!D10/'Balance Sheet'!D29</f>
        <v>4.659145812</v>
      </c>
      <c r="G28" s="166">
        <f>'Balance Sheet'!E10/'Balance Sheet'!E29</f>
        <v>5.550193143</v>
      </c>
      <c r="H28" s="166">
        <f>'Balance Sheet'!F10/'Balance Sheet'!F29</f>
        <v>6.374395254</v>
      </c>
    </row>
    <row r="29" ht="15.75" customHeight="1">
      <c r="A29" s="163" t="s">
        <v>288</v>
      </c>
      <c r="B29" s="157"/>
      <c r="C29" s="158"/>
      <c r="D29" s="166" t="str">
        <f>((#REF!)-#REF!)/#REF!</f>
        <v>#REF!</v>
      </c>
      <c r="E29" s="166">
        <f>(('Balance Sheet'!C10)-'Balance Sheet'!C8)/'Balance Sheet'!C29</f>
        <v>3.418939662</v>
      </c>
      <c r="F29" s="166">
        <f>(('Balance Sheet'!D10)-'Balance Sheet'!D8)/'Balance Sheet'!D29</f>
        <v>4.08395487</v>
      </c>
      <c r="G29" s="166">
        <f>(('Balance Sheet'!E10)-'Balance Sheet'!E8)/'Balance Sheet'!E29</f>
        <v>4.976807233</v>
      </c>
      <c r="H29" s="166">
        <f>(('Balance Sheet'!F10)-'Balance Sheet'!F8)/'Balance Sheet'!F29</f>
        <v>5.787499116</v>
      </c>
    </row>
    <row r="30" ht="15.75" customHeight="1">
      <c r="A30" s="163" t="s">
        <v>289</v>
      </c>
      <c r="B30" s="157"/>
      <c r="C30" s="158"/>
      <c r="D30" s="166" t="str">
        <f>'Income Statement'!B18/#REF!</f>
        <v>#REF!</v>
      </c>
      <c r="E30" s="166">
        <f>'Income Statement'!C18/'Balance Sheet'!C40</f>
        <v>0.6803325044</v>
      </c>
      <c r="F30" s="166">
        <f>'Income Statement'!D18/'Balance Sheet'!D40</f>
        <v>0.652644146</v>
      </c>
      <c r="G30" s="166">
        <f>'Income Statement'!E18/'Balance Sheet'!E40</f>
        <v>0.6082885683</v>
      </c>
      <c r="H30" s="166">
        <f>'Income Statement'!F18/'Balance Sheet'!F40</f>
        <v>0.5340669263</v>
      </c>
    </row>
    <row r="31" ht="15.75" customHeight="1">
      <c r="A31" s="163" t="s">
        <v>290</v>
      </c>
      <c r="B31" s="157"/>
      <c r="C31" s="158"/>
      <c r="D31" s="166" t="str">
        <f>'Income Statement'!B18/#REF!</f>
        <v>#REF!</v>
      </c>
      <c r="E31" s="166">
        <f>'Income Statement'!C18/'Balance Sheet'!C20</f>
        <v>0.4578412068</v>
      </c>
      <c r="F31" s="166">
        <f>'Income Statement'!D18/'Balance Sheet'!D20</f>
        <v>0.5009669575</v>
      </c>
      <c r="G31" s="166">
        <f>'Income Statement'!E18/'Balance Sheet'!E20</f>
        <v>0.4998703027</v>
      </c>
      <c r="H31" s="166">
        <f>'Income Statement'!F18/'Balance Sheet'!F20</f>
        <v>0.4546573261</v>
      </c>
    </row>
    <row r="32" ht="15.75" customHeight="1">
      <c r="A32" s="163" t="s">
        <v>291</v>
      </c>
      <c r="B32" s="157"/>
      <c r="C32" s="158"/>
      <c r="D32" s="166">
        <f>IFERROR('Income Statement'!B14/'Income Statement'!B15,0)</f>
        <v>23.18063294</v>
      </c>
      <c r="E32" s="166">
        <f>IFERROR('Income Statement'!C14/'Income Statement'!C15,0)</f>
        <v>30.78237722</v>
      </c>
      <c r="F32" s="166">
        <f>IFERROR('Income Statement'!D14/'Income Statement'!D15,0)</f>
        <v>92.08469834</v>
      </c>
      <c r="G32" s="166">
        <f>IFERROR('Income Statement'!E14/'Income Statement'!E15,0)</f>
        <v>286.8195202</v>
      </c>
      <c r="H32" s="166">
        <f>IFERROR('Income Statement'!F14/'Income Statement'!F15,0)</f>
        <v>1365.982781</v>
      </c>
    </row>
    <row r="33" ht="15.75" customHeight="1">
      <c r="A33" s="163" t="s">
        <v>292</v>
      </c>
      <c r="B33" s="157"/>
      <c r="C33" s="158"/>
      <c r="D33" s="166" t="str">
        <f t="shared" ref="D33:D34" si="2">(#REF!+#REF!+#REF!)/#REF!</f>
        <v>#REF!</v>
      </c>
      <c r="E33" s="166">
        <f>('Balance Sheet'!C26+'Balance Sheet'!C27+'Balance Sheet'!C32)/'Balance Sheet'!C20</f>
        <v>0.1279918678</v>
      </c>
      <c r="F33" s="166">
        <f>('Balance Sheet'!D26+'Balance Sheet'!D27+'Balance Sheet'!D32)/'Balance Sheet'!D20</f>
        <v>0.04426569223</v>
      </c>
      <c r="G33" s="166">
        <f>('Balance Sheet'!E26+'Balance Sheet'!E27+'Balance Sheet'!E32)/'Balance Sheet'!E20</f>
        <v>0.0121641586</v>
      </c>
      <c r="H33" s="166">
        <f>('Balance Sheet'!F26+'Balance Sheet'!F27+'Balance Sheet'!F32)/'Balance Sheet'!F20</f>
        <v>0</v>
      </c>
    </row>
    <row r="34" ht="15.75" customHeight="1">
      <c r="A34" s="163" t="s">
        <v>293</v>
      </c>
      <c r="B34" s="157"/>
      <c r="C34" s="158"/>
      <c r="D34" s="166" t="str">
        <f t="shared" si="2"/>
        <v>#REF!</v>
      </c>
      <c r="E34" s="166">
        <f>('Balance Sheet'!C26+'Balance Sheet'!C27+'Balance Sheet'!C32)/'Balance Sheet'!C40</f>
        <v>0.1901904562</v>
      </c>
      <c r="F34" s="166">
        <f>('Balance Sheet'!D26+'Balance Sheet'!D27+'Balance Sheet'!D32)/'Balance Sheet'!D40</f>
        <v>0.05766796486</v>
      </c>
      <c r="G34" s="166">
        <f>('Balance Sheet'!E26+'Balance Sheet'!E27+'Balance Sheet'!E32)/'Balance Sheet'!E40</f>
        <v>0.01480247692</v>
      </c>
      <c r="H34" s="166">
        <f>('Balance Sheet'!F26+'Balance Sheet'!F27+'Balance Sheet'!F32)/'Balance Sheet'!F40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0:C10"/>
    <mergeCell ref="A11:C11"/>
    <mergeCell ref="A12:H12"/>
    <mergeCell ref="A3:C3"/>
    <mergeCell ref="A4:C4"/>
    <mergeCell ref="A5:C5"/>
    <mergeCell ref="A6:C6"/>
    <mergeCell ref="A7:C7"/>
    <mergeCell ref="A8:C8"/>
    <mergeCell ref="A9:C9"/>
    <mergeCell ref="A21:C21"/>
    <mergeCell ref="A22:C22"/>
    <mergeCell ref="A23:C23"/>
    <mergeCell ref="A24:H24"/>
    <mergeCell ref="A27:C27"/>
    <mergeCell ref="A28:C28"/>
    <mergeCell ref="A29:C29"/>
    <mergeCell ref="A30:C30"/>
    <mergeCell ref="A31:C31"/>
    <mergeCell ref="A32:C32"/>
    <mergeCell ref="A33:C33"/>
    <mergeCell ref="A34:C34"/>
    <mergeCell ref="A14:C14"/>
    <mergeCell ref="A15:C15"/>
    <mergeCell ref="A16:C16"/>
    <mergeCell ref="A17:C17"/>
    <mergeCell ref="A18:C18"/>
    <mergeCell ref="A19:C19"/>
    <mergeCell ref="A20:C2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2.75"/>
    <col customWidth="1" min="3" max="6" width="12.63"/>
  </cols>
  <sheetData>
    <row r="3">
      <c r="B3" s="167" t="s">
        <v>294</v>
      </c>
    </row>
    <row r="5">
      <c r="B5" s="48" t="s">
        <v>295</v>
      </c>
      <c r="C5" s="44">
        <v>2026.0</v>
      </c>
      <c r="D5" s="44">
        <v>2027.0</v>
      </c>
      <c r="E5" s="44">
        <v>2028.0</v>
      </c>
      <c r="F5" s="44">
        <f t="shared" ref="F5:G5" si="1">E5+1</f>
        <v>2029</v>
      </c>
      <c r="G5" s="44">
        <f t="shared" si="1"/>
        <v>2030</v>
      </c>
    </row>
    <row r="6">
      <c r="C6" s="72" t="str">
        <f>(Ratios!D6)*(('Income Statement'!B6/#REF!))*((#REF!/#REF!))</f>
        <v>#REF!</v>
      </c>
      <c r="D6" s="72">
        <f>(Ratios!E6)*(('Income Statement'!C6/'Balance Sheet'!C20))*(('Balance Sheet'!C20/'Balance Sheet'!C40))</f>
        <v>0.6803325044</v>
      </c>
      <c r="E6" s="72">
        <f>(Ratios!F6)*(('Income Statement'!D6/'Balance Sheet'!D20))*(('Balance Sheet'!D20/'Balance Sheet'!D40))</f>
        <v>0.652644146</v>
      </c>
      <c r="F6" s="72">
        <f>(Ratios!G6)*(('Income Statement'!E6/'Balance Sheet'!E20))*(('Balance Sheet'!E20/'Balance Sheet'!E40))</f>
        <v>0.6082885683</v>
      </c>
      <c r="G6" s="72">
        <f>(Ratios!H6)*(('Income Statement'!F6/'Balance Sheet'!F20))*(('Balance Sheet'!F20/'Balance Sheet'!F40))</f>
        <v>0.5340669263</v>
      </c>
    </row>
    <row r="8">
      <c r="B8" s="168" t="s">
        <v>296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4" width="12.63"/>
    <col customWidth="1" min="5" max="5" width="17.38"/>
    <col customWidth="1" min="6" max="6" width="12.63"/>
    <col customWidth="1" min="7" max="7" width="17.75"/>
    <col customWidth="1" min="10" max="10" width="5.13"/>
    <col customWidth="1" min="11" max="11" width="15.13"/>
    <col customWidth="1" min="12" max="12" width="13.0"/>
    <col customWidth="1" min="13" max="13" width="13.38"/>
    <col customWidth="1" min="14" max="14" width="21.13"/>
  </cols>
  <sheetData>
    <row r="1">
      <c r="A1" s="169" t="s">
        <v>297</v>
      </c>
    </row>
    <row r="3">
      <c r="A3" s="170" t="s">
        <v>298</v>
      </c>
      <c r="B3" s="170" t="s">
        <v>204</v>
      </c>
      <c r="C3" s="170" t="s">
        <v>299</v>
      </c>
      <c r="D3" s="170" t="s">
        <v>300</v>
      </c>
      <c r="E3" s="170" t="s">
        <v>301</v>
      </c>
      <c r="F3" s="170" t="s">
        <v>302</v>
      </c>
      <c r="G3" s="170" t="s">
        <v>303</v>
      </c>
      <c r="J3" s="171" t="s">
        <v>298</v>
      </c>
      <c r="K3" s="171" t="s">
        <v>304</v>
      </c>
      <c r="L3" s="171" t="s">
        <v>305</v>
      </c>
      <c r="M3" s="171" t="s">
        <v>306</v>
      </c>
      <c r="N3" s="171" t="s">
        <v>307</v>
      </c>
    </row>
    <row r="4">
      <c r="A4" s="172">
        <f>Assumptions!D$2</f>
        <v>2026</v>
      </c>
      <c r="B4" s="173">
        <f>'Income Statement'!B6</f>
        <v>2938.734746</v>
      </c>
      <c r="C4" s="173">
        <f>'Income Statement'!B7</f>
        <v>1371.90425</v>
      </c>
      <c r="D4" s="173">
        <f>'Income Statement'!B9+'Income Statement'!B10+'Income Statement'!B12+'Income Statement'!B13+'Income Statement'!B15</f>
        <v>735.0567604</v>
      </c>
      <c r="E4" s="173">
        <f t="shared" ref="E4:E8" si="1">B4-C4</f>
        <v>1566.830496</v>
      </c>
      <c r="F4" s="174">
        <f t="shared" ref="F4:F8" si="2">E4/B4</f>
        <v>0.5331649949</v>
      </c>
      <c r="G4" s="175">
        <f t="shared" ref="G4:G8" si="3">D4/F4</f>
        <v>1378.66658</v>
      </c>
      <c r="J4" s="176">
        <v>2026.0</v>
      </c>
      <c r="K4" s="177">
        <f t="shared" ref="K4:K8" si="4">B4</f>
        <v>2938.734746</v>
      </c>
      <c r="L4" s="177">
        <f t="shared" ref="L4:L8" si="5">C4+D4</f>
        <v>2106.96101</v>
      </c>
      <c r="M4" s="177">
        <f t="shared" ref="M4:M8" si="6">D4</f>
        <v>735.0567604</v>
      </c>
      <c r="N4" s="178">
        <f t="shared" ref="N4:N8" si="7">G4</f>
        <v>1378.66658</v>
      </c>
    </row>
    <row r="5">
      <c r="A5" s="172">
        <f t="shared" ref="A5:A8" si="8">A4+1</f>
        <v>2027</v>
      </c>
      <c r="B5" s="173">
        <f>'Income Statement'!C6</f>
        <v>6104.143898</v>
      </c>
      <c r="C5" s="173">
        <f>'Income Statement'!C7</f>
        <v>2838.073919</v>
      </c>
      <c r="D5" s="173">
        <f>'Income Statement'!C9+'Income Statement'!C10+'Income Statement'!C12+'Income Statement'!C13+'Income Statement'!C15</f>
        <v>1376.750424</v>
      </c>
      <c r="E5" s="173">
        <f t="shared" si="1"/>
        <v>3266.069979</v>
      </c>
      <c r="F5" s="174">
        <f t="shared" si="2"/>
        <v>0.5350578285</v>
      </c>
      <c r="G5" s="175">
        <f t="shared" si="3"/>
        <v>2573.087152</v>
      </c>
      <c r="J5" s="176">
        <v>2027.0</v>
      </c>
      <c r="K5" s="177">
        <f t="shared" si="4"/>
        <v>6104.143898</v>
      </c>
      <c r="L5" s="177">
        <f t="shared" si="5"/>
        <v>4214.824343</v>
      </c>
      <c r="M5" s="177">
        <f t="shared" si="6"/>
        <v>1376.750424</v>
      </c>
      <c r="N5" s="178">
        <f t="shared" si="7"/>
        <v>2573.087152</v>
      </c>
    </row>
    <row r="6">
      <c r="A6" s="172">
        <f t="shared" si="8"/>
        <v>2028</v>
      </c>
      <c r="B6" s="173">
        <f>'Income Statement'!D6</f>
        <v>11890.58657</v>
      </c>
      <c r="C6" s="173">
        <f>'Income Statement'!D7</f>
        <v>5540.450561</v>
      </c>
      <c r="D6" s="173">
        <f>'Income Statement'!D9+'Income Statement'!D10+'Income Statement'!D12+'Income Statement'!D13+'Income Statement'!D15</f>
        <v>2365.180457</v>
      </c>
      <c r="E6" s="173">
        <f t="shared" si="1"/>
        <v>6350.136009</v>
      </c>
      <c r="F6" s="174">
        <f t="shared" si="2"/>
        <v>0.5340473299</v>
      </c>
      <c r="G6" s="175">
        <f t="shared" si="3"/>
        <v>4428.78435</v>
      </c>
      <c r="J6" s="176">
        <v>2028.0</v>
      </c>
      <c r="K6" s="177">
        <f t="shared" si="4"/>
        <v>11890.58657</v>
      </c>
      <c r="L6" s="177">
        <f t="shared" si="5"/>
        <v>7905.631019</v>
      </c>
      <c r="M6" s="177">
        <f t="shared" si="6"/>
        <v>2365.180457</v>
      </c>
      <c r="N6" s="178">
        <f t="shared" si="7"/>
        <v>4428.78435</v>
      </c>
    </row>
    <row r="7">
      <c r="A7" s="172">
        <f t="shared" si="8"/>
        <v>2029</v>
      </c>
      <c r="B7" s="173">
        <f>'Income Statement'!E6</f>
        <v>20449.28711</v>
      </c>
      <c r="C7" s="173">
        <f>'Income Statement'!E7</f>
        <v>9582.981046</v>
      </c>
      <c r="D7" s="173">
        <f>'Income Statement'!E9+'Income Statement'!E10+'Income Statement'!E12+'Income Statement'!E13+'Income Statement'!E15</f>
        <v>3631.499462</v>
      </c>
      <c r="E7" s="173">
        <f t="shared" si="1"/>
        <v>10866.30607</v>
      </c>
      <c r="F7" s="174">
        <f t="shared" si="2"/>
        <v>0.5313782337</v>
      </c>
      <c r="G7" s="175">
        <f t="shared" si="3"/>
        <v>6834.114068</v>
      </c>
      <c r="J7" s="176">
        <v>2029.0</v>
      </c>
      <c r="K7" s="177">
        <f t="shared" si="4"/>
        <v>20449.28711</v>
      </c>
      <c r="L7" s="177">
        <f t="shared" si="5"/>
        <v>13214.48051</v>
      </c>
      <c r="M7" s="177">
        <f t="shared" si="6"/>
        <v>3631.499462</v>
      </c>
      <c r="N7" s="178">
        <f t="shared" si="7"/>
        <v>6834.114068</v>
      </c>
    </row>
    <row r="8">
      <c r="A8" s="172">
        <f t="shared" si="8"/>
        <v>2030</v>
      </c>
      <c r="B8" s="173">
        <f>'Income Statement'!F6</f>
        <v>30503.58532</v>
      </c>
      <c r="C8" s="173">
        <f>'Income Statement'!F7</f>
        <v>14460.44079</v>
      </c>
      <c r="D8" s="173">
        <f>'Income Statement'!F9+'Income Statement'!F10+'Income Statement'!F12+'Income Statement'!F13+'Income Statement'!F15</f>
        <v>4952.659428</v>
      </c>
      <c r="E8" s="173">
        <f t="shared" si="1"/>
        <v>16043.14453</v>
      </c>
      <c r="F8" s="174">
        <f t="shared" si="2"/>
        <v>0.5259429133</v>
      </c>
      <c r="G8" s="175">
        <f t="shared" si="3"/>
        <v>9416.724331</v>
      </c>
      <c r="J8" s="176">
        <v>2030.0</v>
      </c>
      <c r="K8" s="177">
        <f t="shared" si="4"/>
        <v>30503.58532</v>
      </c>
      <c r="L8" s="177">
        <f t="shared" si="5"/>
        <v>19413.10022</v>
      </c>
      <c r="M8" s="177">
        <f t="shared" si="6"/>
        <v>4952.659428</v>
      </c>
      <c r="N8" s="178">
        <f t="shared" si="7"/>
        <v>9416.724331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